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er001\Desktop\"/>
    </mc:Choice>
  </mc:AlternateContent>
  <bookViews>
    <workbookView xWindow="240" yWindow="105" windowWidth="14805" windowHeight="8010" firstSheet="1" activeTab="3"/>
  </bookViews>
  <sheets>
    <sheet name="Projekty" sheetId="106" state="hidden" r:id="rId1"/>
    <sheet name="DATA" sheetId="2" r:id="rId2"/>
    <sheet name="ChangeLog" sheetId="108" state="hidden" r:id="rId3"/>
    <sheet name="09 21" sheetId="123" r:id="rId4"/>
    <sheet name="CodeTemplate" sheetId="122" state="veryHidden" r:id="rId5"/>
  </sheets>
  <definedNames>
    <definedName name="Costcenter_list" localSheetId="3">Costenter_list[Costcenter]</definedName>
    <definedName name="Costcenter_list">Costenter_list[Costcenter]</definedName>
    <definedName name="PAxx_list_from_costcenter" localSheetId="3">Costenter_list[[Costcenter]:[PAxx]]</definedName>
    <definedName name="PAxx_list_from_costcenter">Costenter_list[[Costcenter]:[PAxx]]</definedName>
    <definedName name="Platforma_metis" localSheetId="3">Table_Projects_17[Project name]</definedName>
    <definedName name="Platforma_metis">Table_Projects_17[Project name]</definedName>
    <definedName name="Projects_1" localSheetId="0" hidden="1">Projekty!$B$1:$W$69</definedName>
    <definedName name="Projekty_metis" localSheetId="3">Table_Projects_17[]</definedName>
    <definedName name="Projekty_metis">Table_Projects_17[]</definedName>
    <definedName name="Prokostal">DATA!$B$2</definedName>
    <definedName name="ProKostal_GW_cisly">DATA!$A$2:$B$17</definedName>
    <definedName name="ProKostal_GWs">DATA!$B$3:$B$18</definedName>
    <definedName name="ProKostal_tab_pro_vyhledaní" comment="Slouží k převodu GW/MS na dlouhý text GW2 - xxxxx">DATA!$A$2:$B$18</definedName>
    <definedName name="Val_zmena" localSheetId="3">IF(ISNUMBER(SEARCH(CELL("address"),'09 21'!Platforma_metis)),MAX(Projekty!#REF!)+1,0)</definedName>
    <definedName name="Val_zmena">IF(ISNUMBER(SEARCH(CELL("address"),Platforma_metis)),MAX(Projekty!#REF!)+1,0)</definedName>
    <definedName name="Validation_list_platforms" localSheetId="3">Table_Projects_17[Project name]</definedName>
    <definedName name="Validation_list_platforms">Table_Projects_17[Project name]</definedName>
    <definedName name="Validation_list_vyhledavane">Projekty!$XDK$2</definedName>
    <definedName name="WBS_Elements">DATA!$B$21:$B$23</definedName>
  </definedNames>
  <calcPr calcId="152511"/>
</workbook>
</file>

<file path=xl/calcChain.xml><?xml version="1.0" encoding="utf-8"?>
<calcChain xmlns="http://schemas.openxmlformats.org/spreadsheetml/2006/main">
  <c r="M34" i="123" l="1"/>
  <c r="L34" i="123"/>
  <c r="K34" i="123"/>
  <c r="J34" i="123"/>
  <c r="I34" i="123"/>
  <c r="H34" i="123"/>
  <c r="F34" i="123"/>
  <c r="D34" i="123"/>
  <c r="C34" i="123"/>
  <c r="M33" i="123"/>
  <c r="L33" i="123"/>
  <c r="K33" i="123"/>
  <c r="J33" i="123"/>
  <c r="I33" i="123"/>
  <c r="H33" i="123"/>
  <c r="F33" i="123"/>
  <c r="D33" i="123"/>
  <c r="C33" i="123"/>
  <c r="M32" i="123"/>
  <c r="L32" i="123"/>
  <c r="K32" i="123"/>
  <c r="J32" i="123"/>
  <c r="I32" i="123"/>
  <c r="H32" i="123"/>
  <c r="F32" i="123"/>
  <c r="D32" i="123"/>
  <c r="C32" i="123"/>
  <c r="M31" i="123"/>
  <c r="L31" i="123"/>
  <c r="K31" i="123"/>
  <c r="J31" i="123"/>
  <c r="I31" i="123"/>
  <c r="H31" i="123"/>
  <c r="F31" i="123"/>
  <c r="D31" i="123"/>
  <c r="C31" i="123"/>
  <c r="M30" i="123"/>
  <c r="L30" i="123"/>
  <c r="K30" i="123"/>
  <c r="J30" i="123"/>
  <c r="I30" i="123"/>
  <c r="H30" i="123"/>
  <c r="F30" i="123"/>
  <c r="D30" i="123"/>
  <c r="C30" i="123"/>
  <c r="M29" i="123"/>
  <c r="L29" i="123"/>
  <c r="K29" i="123"/>
  <c r="J29" i="123"/>
  <c r="I29" i="123"/>
  <c r="H29" i="123"/>
  <c r="F29" i="123"/>
  <c r="D29" i="123"/>
  <c r="C29" i="123"/>
  <c r="M28" i="123"/>
  <c r="L28" i="123"/>
  <c r="K28" i="123"/>
  <c r="J28" i="123"/>
  <c r="I28" i="123"/>
  <c r="H28" i="123"/>
  <c r="F28" i="123"/>
  <c r="D28" i="123"/>
  <c r="C28" i="123"/>
  <c r="M27" i="123"/>
  <c r="L27" i="123"/>
  <c r="K27" i="123"/>
  <c r="J27" i="123"/>
  <c r="I27" i="123"/>
  <c r="H27" i="123"/>
  <c r="F27" i="123"/>
  <c r="D27" i="123"/>
  <c r="C27" i="123"/>
  <c r="M26" i="123"/>
  <c r="L26" i="123"/>
  <c r="K26" i="123"/>
  <c r="J26" i="123"/>
  <c r="I26" i="123"/>
  <c r="H26" i="123"/>
  <c r="F26" i="123"/>
  <c r="D26" i="123"/>
  <c r="C26" i="123"/>
  <c r="M25" i="123"/>
  <c r="L25" i="123"/>
  <c r="K25" i="123"/>
  <c r="J25" i="123"/>
  <c r="I25" i="123"/>
  <c r="H25" i="123"/>
  <c r="F25" i="123"/>
  <c r="D25" i="123"/>
  <c r="C25" i="123"/>
  <c r="M24" i="123"/>
  <c r="L24" i="123"/>
  <c r="K24" i="123"/>
  <c r="J24" i="123"/>
  <c r="I24" i="123"/>
  <c r="H24" i="123"/>
  <c r="F24" i="123"/>
  <c r="D24" i="123"/>
  <c r="C24" i="123"/>
  <c r="M23" i="123"/>
  <c r="L23" i="123"/>
  <c r="K23" i="123"/>
  <c r="J23" i="123"/>
  <c r="I23" i="123"/>
  <c r="H23" i="123"/>
  <c r="F23" i="123"/>
  <c r="D23" i="123"/>
  <c r="C23" i="123"/>
  <c r="M22" i="123"/>
  <c r="L22" i="123"/>
  <c r="K22" i="123"/>
  <c r="J22" i="123"/>
  <c r="I22" i="123"/>
  <c r="H22" i="123"/>
  <c r="F22" i="123"/>
  <c r="D22" i="123"/>
  <c r="C22" i="123"/>
  <c r="M21" i="123"/>
  <c r="L21" i="123"/>
  <c r="K21" i="123"/>
  <c r="J21" i="123"/>
  <c r="I21" i="123"/>
  <c r="H21" i="123"/>
  <c r="F21" i="123"/>
  <c r="D21" i="123"/>
  <c r="C21" i="123"/>
  <c r="M20" i="123"/>
  <c r="L20" i="123"/>
  <c r="K20" i="123"/>
  <c r="J20" i="123"/>
  <c r="I20" i="123"/>
  <c r="H20" i="123"/>
  <c r="F20" i="123"/>
  <c r="D20" i="123"/>
  <c r="C20" i="123"/>
  <c r="M19" i="123"/>
  <c r="L19" i="123"/>
  <c r="K19" i="123"/>
  <c r="J19" i="123"/>
  <c r="I19" i="123"/>
  <c r="H19" i="123"/>
  <c r="F19" i="123"/>
  <c r="D19" i="123"/>
  <c r="C19" i="123"/>
  <c r="M18" i="123"/>
  <c r="L18" i="123"/>
  <c r="K18" i="123"/>
  <c r="J18" i="123"/>
  <c r="I18" i="123"/>
  <c r="H18" i="123"/>
  <c r="F18" i="123"/>
  <c r="D18" i="123"/>
  <c r="C18" i="123"/>
  <c r="M17" i="123"/>
  <c r="L17" i="123"/>
  <c r="K17" i="123"/>
  <c r="J17" i="123"/>
  <c r="I17" i="123"/>
  <c r="H17" i="123"/>
  <c r="F17" i="123"/>
  <c r="D17" i="123"/>
  <c r="C17" i="123"/>
  <c r="M16" i="123"/>
  <c r="L16" i="123"/>
  <c r="K16" i="123"/>
  <c r="J16" i="123"/>
  <c r="I16" i="123"/>
  <c r="H16" i="123"/>
  <c r="F16" i="123"/>
  <c r="D16" i="123"/>
  <c r="C16" i="123"/>
  <c r="M15" i="123"/>
  <c r="L15" i="123"/>
  <c r="K15" i="123"/>
  <c r="J15" i="123"/>
  <c r="I15" i="123"/>
  <c r="H15" i="123"/>
  <c r="F15" i="123"/>
  <c r="D15" i="123"/>
  <c r="C15" i="123"/>
  <c r="M14" i="123"/>
  <c r="L14" i="123"/>
  <c r="K14" i="123"/>
  <c r="J14" i="123"/>
  <c r="I14" i="123"/>
  <c r="H14" i="123"/>
  <c r="F14" i="123"/>
  <c r="D14" i="123"/>
  <c r="C14" i="123"/>
  <c r="M13" i="123"/>
  <c r="L13" i="123"/>
  <c r="K13" i="123"/>
  <c r="J13" i="123"/>
  <c r="I13" i="123"/>
  <c r="H13" i="123"/>
  <c r="F13" i="123"/>
  <c r="D13" i="123"/>
  <c r="C13" i="123"/>
  <c r="M12" i="123"/>
  <c r="L12" i="123"/>
  <c r="K12" i="123"/>
  <c r="J12" i="123"/>
  <c r="I12" i="123"/>
  <c r="H12" i="123"/>
  <c r="F12" i="123"/>
  <c r="D12" i="123"/>
  <c r="C12" i="123"/>
  <c r="M11" i="123"/>
  <c r="L11" i="123"/>
  <c r="K11" i="123"/>
  <c r="J11" i="123"/>
  <c r="I11" i="123"/>
  <c r="H11" i="123"/>
  <c r="F11" i="123"/>
  <c r="D11" i="123"/>
  <c r="C11" i="123"/>
  <c r="M10" i="123"/>
  <c r="L10" i="123"/>
  <c r="K10" i="123"/>
  <c r="J10" i="123"/>
  <c r="I10" i="123"/>
  <c r="H10" i="123"/>
  <c r="F10" i="123"/>
  <c r="D10" i="123"/>
  <c r="C10" i="123"/>
  <c r="M9" i="123"/>
  <c r="L9" i="123"/>
  <c r="K9" i="123"/>
  <c r="J9" i="123"/>
  <c r="I9" i="123"/>
  <c r="H9" i="123"/>
  <c r="F9" i="123"/>
  <c r="D9" i="123"/>
  <c r="C9" i="123"/>
  <c r="M8" i="123"/>
  <c r="L8" i="123"/>
  <c r="K8" i="123"/>
  <c r="J8" i="123"/>
  <c r="I8" i="123"/>
  <c r="H8" i="123"/>
  <c r="F8" i="123"/>
  <c r="D8" i="123"/>
  <c r="C8" i="123"/>
  <c r="M7" i="123"/>
  <c r="L7" i="123"/>
  <c r="K7" i="123"/>
  <c r="J7" i="123"/>
  <c r="I7" i="123"/>
  <c r="H7" i="123"/>
  <c r="F7" i="123"/>
  <c r="D7" i="123"/>
  <c r="C7" i="123"/>
  <c r="M6" i="123"/>
  <c r="L6" i="123"/>
  <c r="K6" i="123"/>
  <c r="J6" i="123"/>
  <c r="I6" i="123"/>
  <c r="H6" i="123"/>
  <c r="F6" i="123"/>
  <c r="D6" i="123"/>
  <c r="C6" i="123"/>
  <c r="L5" i="123"/>
  <c r="M5" i="123" s="1"/>
  <c r="K5" i="123"/>
  <c r="J5" i="123" s="1"/>
  <c r="I5" i="123"/>
  <c r="H5" i="123"/>
  <c r="F5" i="123"/>
  <c r="D5" i="123"/>
  <c r="C5" i="123"/>
  <c r="AR4" i="123"/>
  <c r="AQ4" i="123"/>
  <c r="AP4" i="123"/>
  <c r="AO4" i="123"/>
  <c r="AN4" i="123"/>
  <c r="AM4" i="123"/>
  <c r="AL4" i="123"/>
  <c r="AK4" i="123"/>
  <c r="AJ4" i="123"/>
  <c r="AI4" i="123"/>
  <c r="AH4" i="123"/>
  <c r="AG4" i="123"/>
  <c r="AF4" i="123"/>
  <c r="AE4" i="123"/>
  <c r="AD4" i="123"/>
  <c r="AC4" i="123"/>
  <c r="AB4" i="123"/>
  <c r="AA4" i="123"/>
  <c r="Z4" i="123"/>
  <c r="Y4" i="123"/>
  <c r="X4" i="123"/>
  <c r="W4" i="123"/>
  <c r="V4" i="123"/>
  <c r="U4" i="123"/>
  <c r="T4" i="123"/>
  <c r="S4" i="123"/>
  <c r="R4" i="123"/>
  <c r="Q4" i="123"/>
  <c r="P4" i="123"/>
  <c r="O4" i="123"/>
  <c r="XDH67" i="106" l="1"/>
  <c r="A224" i="106"/>
  <c r="XDH235" i="106"/>
  <c r="A466" i="106"/>
  <c r="A266" i="106"/>
  <c r="A117" i="106"/>
  <c r="XDH281" i="106"/>
  <c r="A322" i="106"/>
  <c r="A71" i="106"/>
  <c r="XDH167" i="106"/>
  <c r="A348" i="106"/>
  <c r="XDH225" i="106"/>
  <c r="XDH465" i="106"/>
  <c r="XDH236" i="106"/>
  <c r="XDH384" i="106"/>
  <c r="A341" i="106"/>
  <c r="XDH202" i="106"/>
  <c r="A463" i="106"/>
  <c r="A491" i="106"/>
  <c r="A163" i="106"/>
  <c r="XDH437" i="106"/>
  <c r="A120" i="106"/>
  <c r="XDH332" i="106"/>
  <c r="XDH212" i="106"/>
  <c r="A353" i="106"/>
  <c r="A464" i="106"/>
  <c r="XDH495" i="106"/>
  <c r="XDH128" i="106"/>
  <c r="XDH118" i="106"/>
  <c r="XDH462" i="106"/>
  <c r="A88" i="106"/>
  <c r="A99" i="106"/>
  <c r="XDE19" i="106"/>
  <c r="XDH424" i="106"/>
  <c r="A119" i="106"/>
  <c r="XDE28" i="106"/>
  <c r="A126" i="106"/>
  <c r="XDH254" i="106"/>
  <c r="XDH142" i="106"/>
  <c r="A310" i="106"/>
  <c r="A213" i="106"/>
  <c r="XDH377" i="106"/>
  <c r="A197" i="106"/>
  <c r="XDH397" i="106"/>
  <c r="A413" i="106"/>
  <c r="XDE48" i="106"/>
  <c r="XDH229" i="106"/>
  <c r="XDH168" i="106"/>
  <c r="A275" i="106"/>
  <c r="XDH205" i="106"/>
  <c r="A321" i="106"/>
  <c r="XDH395" i="106"/>
  <c r="XDH232" i="106"/>
  <c r="XDH322" i="106"/>
  <c r="A133" i="106"/>
  <c r="A158" i="106"/>
  <c r="A308" i="106"/>
  <c r="XDH414" i="106"/>
  <c r="XDH77" i="106"/>
  <c r="A211" i="106"/>
  <c r="XDE47" i="106"/>
  <c r="XDH98" i="106"/>
  <c r="A265" i="106"/>
  <c r="XDH399" i="106"/>
  <c r="A87" i="106"/>
  <c r="A251" i="106"/>
  <c r="A454" i="106"/>
  <c r="XDE38" i="106"/>
  <c r="A496" i="106"/>
  <c r="XDH425" i="106"/>
  <c r="XDH197" i="106"/>
  <c r="A192" i="106"/>
  <c r="A208" i="106"/>
  <c r="XDH207" i="106"/>
  <c r="A137" i="106"/>
  <c r="XDH145" i="106"/>
  <c r="XDH348" i="106"/>
  <c r="A212" i="106"/>
  <c r="XDH221" i="106"/>
  <c r="XDH482" i="106"/>
  <c r="A385" i="106"/>
  <c r="A366" i="106"/>
  <c r="A335" i="106"/>
  <c r="A303" i="106"/>
  <c r="A91" i="106"/>
  <c r="A238" i="106"/>
  <c r="XDH421" i="106"/>
  <c r="XDH372" i="106"/>
  <c r="A273" i="106"/>
  <c r="XDH219" i="106"/>
  <c r="A143" i="106"/>
  <c r="XDH117" i="106"/>
  <c r="A408" i="106"/>
  <c r="A277" i="106"/>
  <c r="XDH72" i="106"/>
  <c r="A383" i="106"/>
  <c r="XDH453" i="106"/>
  <c r="A222" i="106"/>
  <c r="XDH189" i="106"/>
  <c r="XDH352" i="106"/>
  <c r="XDE35" i="106"/>
  <c r="A354" i="106"/>
  <c r="A332" i="106"/>
  <c r="XDH153" i="106"/>
  <c r="A437" i="106"/>
  <c r="A85" i="106"/>
  <c r="A267" i="106"/>
  <c r="XDH349" i="106"/>
  <c r="A393" i="106"/>
  <c r="A315" i="106"/>
  <c r="A116" i="106"/>
  <c r="A358" i="106"/>
  <c r="A140" i="106"/>
  <c r="XDH319" i="106"/>
  <c r="A237" i="106"/>
  <c r="A415" i="106"/>
  <c r="A320" i="106"/>
  <c r="XDH100" i="106"/>
  <c r="A490" i="106"/>
  <c r="A105" i="106"/>
  <c r="A497" i="106"/>
  <c r="A364" i="106"/>
  <c r="A177" i="106"/>
  <c r="XDH481" i="106"/>
  <c r="A329" i="106"/>
  <c r="A432" i="106"/>
  <c r="XDH220" i="106"/>
  <c r="A305" i="106"/>
  <c r="XDH438" i="106"/>
  <c r="XDH429" i="106"/>
  <c r="A210" i="106"/>
  <c r="A440" i="106"/>
  <c r="A435" i="106"/>
  <c r="XDH65" i="106"/>
  <c r="XDH392" i="106"/>
  <c r="XDH178" i="106"/>
  <c r="A388" i="106"/>
  <c r="XDH357" i="106"/>
  <c r="A391" i="106"/>
  <c r="A326" i="106"/>
  <c r="XDE56" i="106"/>
  <c r="A146" i="106"/>
  <c r="A263" i="106"/>
  <c r="A429" i="106"/>
  <c r="A459" i="106"/>
  <c r="A131" i="106"/>
  <c r="XDH469" i="106"/>
  <c r="XDH91" i="106"/>
  <c r="XDH323" i="106"/>
  <c r="XDE6" i="106"/>
  <c r="XDH371" i="106"/>
  <c r="A479" i="106"/>
  <c r="XDH248" i="106"/>
  <c r="A488" i="106"/>
  <c r="A318" i="106"/>
  <c r="A166" i="106"/>
  <c r="XDE9" i="106"/>
  <c r="A439" i="106"/>
  <c r="A98" i="106"/>
  <c r="XDH114" i="106"/>
  <c r="A476" i="106"/>
  <c r="A460" i="106"/>
  <c r="A438" i="106"/>
  <c r="XDH199" i="106"/>
  <c r="XDH122" i="106"/>
  <c r="A416" i="106"/>
  <c r="A450" i="106"/>
  <c r="A84" i="106"/>
  <c r="XDH374" i="106"/>
  <c r="XDH261" i="106"/>
  <c r="A169" i="106"/>
  <c r="A387" i="106"/>
  <c r="XDH162" i="106"/>
  <c r="XDE58" i="106"/>
  <c r="XDE39" i="106"/>
  <c r="XDH230" i="106"/>
  <c r="A282" i="106"/>
  <c r="A389" i="106"/>
  <c r="XDH124" i="106"/>
  <c r="XDH396" i="106"/>
  <c r="A157" i="106"/>
  <c r="XDH492" i="106"/>
  <c r="A397" i="106"/>
  <c r="A338" i="106"/>
  <c r="A86" i="106"/>
  <c r="XDH383" i="106"/>
  <c r="XDH318" i="106"/>
  <c r="XDH180" i="106"/>
  <c r="A257" i="106"/>
  <c r="A152" i="106"/>
  <c r="A196" i="106"/>
  <c r="XDH276" i="106"/>
  <c r="XDH306" i="106"/>
  <c r="XDH123" i="106"/>
  <c r="A286" i="106"/>
  <c r="A172" i="106"/>
  <c r="XDH161" i="106"/>
  <c r="A371" i="106"/>
  <c r="A471" i="106"/>
  <c r="XDH106" i="106"/>
  <c r="A448" i="106"/>
  <c r="XDH423" i="106"/>
  <c r="XDE17" i="106"/>
  <c r="A404" i="106"/>
  <c r="XDH215" i="106"/>
  <c r="XDH370" i="106"/>
  <c r="A90" i="106"/>
  <c r="XDH407" i="106"/>
  <c r="A236" i="106"/>
  <c r="XDH463" i="106"/>
  <c r="XDH277" i="106"/>
  <c r="A473" i="106"/>
  <c r="A365" i="106"/>
  <c r="XDH304" i="106"/>
  <c r="XDH192" i="106"/>
  <c r="A288" i="106"/>
  <c r="A489" i="106"/>
  <c r="XDH104" i="106"/>
  <c r="XDH442" i="106"/>
  <c r="A498" i="106"/>
  <c r="XDH273" i="106"/>
  <c r="XDH426" i="106"/>
  <c r="A123" i="106"/>
  <c r="XDH388" i="106"/>
  <c r="XDH449" i="106"/>
  <c r="A470" i="106"/>
  <c r="XDH82" i="106"/>
  <c r="XDH499" i="106"/>
  <c r="A187" i="106"/>
  <c r="XDH81" i="106"/>
  <c r="A254" i="106"/>
  <c r="XDH64" i="106"/>
  <c r="XDH299" i="106"/>
  <c r="XDH376" i="106"/>
  <c r="XDH238" i="106"/>
  <c r="XDH345" i="106"/>
  <c r="A136" i="106"/>
  <c r="XDH310" i="106"/>
  <c r="A283" i="106"/>
  <c r="XDH303" i="106"/>
  <c r="A368" i="106"/>
  <c r="XDH390" i="106"/>
  <c r="XDH290" i="106"/>
  <c r="XDE43" i="106"/>
  <c r="A279" i="106"/>
  <c r="A457" i="106"/>
  <c r="XDE18" i="106"/>
  <c r="XDH108" i="106"/>
  <c r="A317" i="106"/>
  <c r="A125" i="106"/>
  <c r="XDH217" i="106"/>
  <c r="XDH443" i="106"/>
  <c r="A189" i="106"/>
  <c r="XDH113" i="106"/>
  <c r="XDH415" i="106"/>
  <c r="A377" i="106"/>
  <c r="A434" i="106"/>
  <c r="XDH242" i="106"/>
  <c r="A361" i="106"/>
  <c r="XDH176" i="106"/>
  <c r="A386" i="106"/>
  <c r="A398" i="106"/>
  <c r="XDH472" i="106"/>
  <c r="A73" i="106"/>
  <c r="A181" i="106"/>
  <c r="A217" i="106"/>
  <c r="XDH109" i="106"/>
  <c r="A168" i="106"/>
  <c r="A162" i="106"/>
  <c r="A97" i="106"/>
  <c r="A362" i="106"/>
  <c r="A423" i="106"/>
  <c r="XDH89" i="106"/>
  <c r="XDH327" i="106"/>
  <c r="XDH97" i="106"/>
  <c r="A343" i="106"/>
  <c r="XDH487" i="106"/>
  <c r="XDE8" i="106"/>
  <c r="A313" i="106"/>
  <c r="XDE30" i="106"/>
  <c r="XDH347" i="106"/>
  <c r="XDH293" i="106"/>
  <c r="XDH486" i="106"/>
  <c r="A444" i="106"/>
  <c r="XDH185" i="106"/>
  <c r="XDH294" i="106"/>
  <c r="A290" i="106"/>
  <c r="A334" i="106"/>
  <c r="A129" i="106"/>
  <c r="XDH412" i="106"/>
  <c r="A183" i="106"/>
  <c r="XDH119" i="106"/>
  <c r="XDH194" i="106"/>
  <c r="A176" i="106"/>
  <c r="XDH231" i="106"/>
  <c r="XDH99" i="106"/>
  <c r="XDH458" i="106"/>
  <c r="XDH282" i="106"/>
  <c r="XDH394" i="106"/>
  <c r="XDH408" i="106"/>
  <c r="XDE44" i="106"/>
  <c r="A420" i="106"/>
  <c r="XDH204" i="106"/>
  <c r="XDH218" i="106"/>
  <c r="A453" i="106"/>
  <c r="A304" i="106"/>
  <c r="A228" i="106"/>
  <c r="A381" i="106"/>
  <c r="A80" i="106"/>
  <c r="XDH477" i="106"/>
  <c r="A402" i="106"/>
  <c r="A417" i="106"/>
  <c r="A93" i="106"/>
  <c r="XDH342" i="106"/>
  <c r="XDH247" i="106"/>
  <c r="A401" i="106"/>
  <c r="A339" i="106"/>
  <c r="A144" i="106"/>
  <c r="XDH307" i="106"/>
  <c r="A154" i="106"/>
  <c r="XDH234" i="106"/>
  <c r="A227" i="106"/>
  <c r="A356" i="106"/>
  <c r="XDH110" i="106"/>
  <c r="A284" i="106"/>
  <c r="XDH83" i="106"/>
  <c r="XDH239" i="106"/>
  <c r="XDH200" i="106"/>
  <c r="A363" i="106"/>
  <c r="A370" i="106"/>
  <c r="A74" i="106"/>
  <c r="XDE37" i="106"/>
  <c r="A421" i="106"/>
  <c r="XDH206" i="106"/>
  <c r="A205" i="106"/>
  <c r="A231" i="106"/>
  <c r="XDH334" i="106"/>
  <c r="A160" i="106"/>
  <c r="XDH69" i="106"/>
  <c r="XDH361" i="106"/>
  <c r="A414" i="106"/>
  <c r="A150" i="106"/>
  <c r="A195" i="106"/>
  <c r="XDH436" i="106"/>
  <c r="A367" i="106"/>
  <c r="XDH447" i="106"/>
  <c r="A155" i="106"/>
  <c r="A467" i="106"/>
  <c r="XDH73" i="106"/>
  <c r="A281" i="106"/>
  <c r="XDH226" i="106"/>
  <c r="A292" i="106"/>
  <c r="XDH456" i="106"/>
  <c r="XDH157" i="106"/>
  <c r="XDE49" i="106"/>
  <c r="XDH160" i="106"/>
  <c r="A351" i="106"/>
  <c r="XDH427" i="106"/>
  <c r="A447" i="106"/>
  <c r="XDH169" i="106"/>
  <c r="A296" i="106"/>
  <c r="A203" i="106"/>
  <c r="XDH445" i="106"/>
  <c r="A214" i="106"/>
  <c r="XDH430" i="106"/>
  <c r="A325" i="106"/>
  <c r="XDE52" i="106"/>
  <c r="XDH311" i="106"/>
  <c r="A173" i="106"/>
  <c r="A249" i="106"/>
  <c r="XDH151" i="106"/>
  <c r="XDH275" i="106"/>
  <c r="XDH341" i="106"/>
  <c r="A373" i="106"/>
  <c r="XDH409" i="106"/>
  <c r="XDH146" i="106"/>
  <c r="A151" i="106"/>
  <c r="A333" i="106"/>
  <c r="A422" i="106"/>
  <c r="XDE54" i="106"/>
  <c r="A468" i="106"/>
  <c r="A145" i="106"/>
  <c r="XDH177" i="106"/>
  <c r="XDH90" i="106"/>
  <c r="A494" i="106"/>
  <c r="A346" i="106"/>
  <c r="XDE26" i="106"/>
  <c r="XDH292" i="106"/>
  <c r="A379" i="106"/>
  <c r="XDH179" i="106"/>
  <c r="XDH103" i="106"/>
  <c r="XDH363" i="106"/>
  <c r="XDH184" i="106"/>
  <c r="XDE20" i="106"/>
  <c r="XDE22" i="106"/>
  <c r="XDH339" i="106"/>
  <c r="XDH380" i="106"/>
  <c r="A269" i="106"/>
  <c r="XDH111" i="106"/>
  <c r="XDH321" i="106"/>
  <c r="XDH291" i="106"/>
  <c r="A419" i="106"/>
  <c r="XDH245" i="106"/>
  <c r="A451" i="106"/>
  <c r="XDE5" i="106"/>
  <c r="XDH251" i="106"/>
  <c r="A121" i="106"/>
  <c r="A247" i="106"/>
  <c r="A241" i="106"/>
  <c r="XDH268" i="106"/>
  <c r="XDH500" i="106"/>
  <c r="A226" i="106"/>
  <c r="XDH289" i="106"/>
  <c r="XDE55" i="106"/>
  <c r="A493" i="106"/>
  <c r="XDH132" i="106"/>
  <c r="XDH152" i="106"/>
  <c r="A327" i="106"/>
  <c r="A291" i="106"/>
  <c r="XDH270" i="106"/>
  <c r="XDH288" i="106"/>
  <c r="XDE50" i="106"/>
  <c r="A311" i="106"/>
  <c r="XDH316" i="106"/>
  <c r="XDH444" i="106"/>
  <c r="XDH278" i="106"/>
  <c r="XDH446" i="106"/>
  <c r="XDH382" i="106"/>
  <c r="A233" i="106"/>
  <c r="XDH183" i="106"/>
  <c r="XDE51" i="106"/>
  <c r="A483" i="106"/>
  <c r="XDH405" i="106"/>
  <c r="XDH300" i="106"/>
  <c r="XDH112" i="106"/>
  <c r="XDH362" i="106"/>
  <c r="XDH198" i="106"/>
  <c r="XDH367" i="106"/>
  <c r="XDH287" i="106"/>
  <c r="XDH435" i="106"/>
  <c r="A188" i="106"/>
  <c r="XDH263" i="106"/>
  <c r="XDH228" i="106"/>
  <c r="A293" i="106"/>
  <c r="A323" i="106"/>
  <c r="XDE34" i="106"/>
  <c r="XDH266" i="106"/>
  <c r="A122" i="106"/>
  <c r="A442" i="106"/>
  <c r="XDH101" i="106"/>
  <c r="XDH285" i="106"/>
  <c r="A149" i="106"/>
  <c r="XDH308" i="106"/>
  <c r="XDH474" i="106"/>
  <c r="XDH301" i="106"/>
  <c r="XDH480" i="106"/>
  <c r="XDH312" i="106"/>
  <c r="A409" i="106"/>
  <c r="XDH461" i="106"/>
  <c r="XDH467" i="106"/>
  <c r="XDH464" i="106"/>
  <c r="XDH208" i="106"/>
  <c r="XDH216" i="106"/>
  <c r="XDH313" i="106"/>
  <c r="A410" i="106"/>
  <c r="A274" i="106"/>
  <c r="XDH86" i="106"/>
  <c r="XDH85" i="106"/>
  <c r="A319" i="106"/>
  <c r="A250" i="106"/>
  <c r="XDH325" i="106"/>
  <c r="XDH70" i="106"/>
  <c r="A83" i="106"/>
  <c r="XDH188" i="106"/>
  <c r="A182" i="106"/>
  <c r="A484" i="106"/>
  <c r="XDH358" i="106"/>
  <c r="XDH87" i="106"/>
  <c r="XDH340" i="106"/>
  <c r="XDH149" i="106"/>
  <c r="A220" i="106"/>
  <c r="XDH346" i="106"/>
  <c r="XDH365" i="106"/>
  <c r="XDE23" i="106"/>
  <c r="XDH105" i="106"/>
  <c r="XDH466" i="106"/>
  <c r="A92" i="106"/>
  <c r="A79" i="106"/>
  <c r="XDH214" i="106"/>
  <c r="XDH150" i="106"/>
  <c r="A390" i="106"/>
  <c r="A207" i="106"/>
  <c r="A347" i="106"/>
  <c r="A229" i="106"/>
  <c r="A221" i="106"/>
  <c r="A299" i="106"/>
  <c r="XDH133" i="106"/>
  <c r="A232" i="106"/>
  <c r="A100" i="106"/>
  <c r="XDK2" i="106"/>
  <c r="XDH141" i="106"/>
  <c r="XDH269" i="106"/>
  <c r="XDH493" i="106"/>
  <c r="A394" i="106"/>
  <c r="XDH260" i="106"/>
  <c r="XDH135" i="106"/>
  <c r="XDE61" i="106"/>
  <c r="XDH136" i="106"/>
  <c r="A500" i="106"/>
  <c r="A314" i="106"/>
  <c r="XDE4" i="106"/>
  <c r="A357" i="106"/>
  <c r="XDH203" i="106"/>
  <c r="XDH210" i="106"/>
  <c r="A156" i="106"/>
  <c r="XDH455" i="106"/>
  <c r="A428" i="106"/>
  <c r="XDH250" i="106"/>
  <c r="XDH368" i="106"/>
  <c r="A130" i="106"/>
  <c r="XDH68" i="106"/>
  <c r="XDE62" i="106"/>
  <c r="A76" i="106"/>
  <c r="A289" i="106"/>
  <c r="XDH78" i="106"/>
  <c r="XDH355" i="106"/>
  <c r="XDH193" i="106"/>
  <c r="XDH66" i="106"/>
  <c r="A81" i="106"/>
  <c r="XDH434" i="106"/>
  <c r="A418" i="106"/>
  <c r="A194" i="106"/>
  <c r="A75" i="106"/>
  <c r="A396" i="106"/>
  <c r="XDH84" i="106"/>
  <c r="XDE42" i="106"/>
  <c r="A164" i="106"/>
  <c r="XDE3" i="106"/>
  <c r="A215" i="106"/>
  <c r="XDH496" i="106"/>
  <c r="XDH344" i="106"/>
  <c r="XDH473" i="106"/>
  <c r="A443" i="106"/>
  <c r="A103" i="106"/>
  <c r="XDH195" i="106"/>
  <c r="XDH353" i="106"/>
  <c r="XDH335" i="106"/>
  <c r="A264" i="106"/>
  <c r="A372" i="106"/>
  <c r="XDE53" i="106"/>
  <c r="XDH129" i="106"/>
  <c r="XDE59" i="106"/>
  <c r="A202" i="106"/>
  <c r="A369" i="106"/>
  <c r="XDH159" i="106"/>
  <c r="XDE41" i="106"/>
  <c r="A499" i="106"/>
  <c r="XDH343" i="106"/>
  <c r="A223" i="106"/>
  <c r="A82" i="106"/>
  <c r="XDH182" i="106"/>
  <c r="XDH272" i="106"/>
  <c r="A395" i="106"/>
  <c r="A245" i="106"/>
  <c r="XDH402" i="106"/>
  <c r="A240" i="106"/>
  <c r="A492" i="106"/>
  <c r="XDH326" i="106"/>
  <c r="A384" i="106"/>
  <c r="XDE27" i="106"/>
  <c r="XDH448" i="106"/>
  <c r="XDH244" i="106"/>
  <c r="A280" i="106"/>
  <c r="XDH171" i="106"/>
  <c r="XDH256" i="106"/>
  <c r="XDH102" i="106"/>
  <c r="A431" i="106"/>
  <c r="XDH314" i="106"/>
  <c r="XDH351" i="106"/>
  <c r="XDH483" i="106"/>
  <c r="XDH400" i="106"/>
  <c r="XDH246" i="106"/>
  <c r="A287" i="106"/>
  <c r="XDE36" i="106"/>
  <c r="XDE7" i="106"/>
  <c r="XDH432" i="106"/>
  <c r="XDH262" i="106"/>
  <c r="XDH271" i="106"/>
  <c r="A405" i="106"/>
  <c r="XDH115" i="106"/>
  <c r="XDH359" i="106"/>
  <c r="A278" i="106"/>
  <c r="XDH337" i="106"/>
  <c r="XDE60" i="106"/>
  <c r="A331" i="106"/>
  <c r="XDH74" i="106"/>
  <c r="XDH350" i="106"/>
  <c r="A242" i="106"/>
  <c r="XDH491" i="106"/>
  <c r="XDH378" i="106"/>
  <c r="A256" i="106"/>
  <c r="XDH175" i="106"/>
  <c r="A148" i="106"/>
  <c r="XDH422" i="106"/>
  <c r="A171" i="106"/>
  <c r="XDH420" i="106"/>
  <c r="XDH494" i="106"/>
  <c r="A482" i="106"/>
  <c r="A239" i="106"/>
  <c r="XDH470" i="106"/>
  <c r="A78" i="106"/>
  <c r="XDH418" i="106"/>
  <c r="A248" i="106"/>
  <c r="XDH386" i="106"/>
  <c r="A350" i="106"/>
  <c r="XDH158" i="106"/>
  <c r="A139" i="106"/>
  <c r="XDH267" i="106"/>
  <c r="A180" i="106"/>
  <c r="A312" i="106"/>
  <c r="XDH258" i="106"/>
  <c r="XDH324" i="106"/>
  <c r="A465" i="106"/>
  <c r="A349" i="106"/>
  <c r="A462" i="106"/>
  <c r="XDH404" i="106"/>
  <c r="XDH237" i="106"/>
  <c r="A252" i="106"/>
  <c r="XDE40" i="106"/>
  <c r="XDH138" i="106"/>
  <c r="XDH459" i="106"/>
  <c r="XDH173" i="106"/>
  <c r="A309" i="106"/>
  <c r="A206" i="106"/>
  <c r="A159" i="106"/>
  <c r="XDH76" i="106"/>
  <c r="A480" i="106"/>
  <c r="A135" i="106"/>
  <c r="XDH375" i="106"/>
  <c r="XDH107" i="106"/>
  <c r="A485" i="106"/>
  <c r="A124" i="106"/>
  <c r="XDH95" i="106"/>
  <c r="A445" i="106"/>
  <c r="XDH393" i="106"/>
  <c r="A77" i="106"/>
  <c r="A70" i="106"/>
  <c r="XDH381" i="106"/>
  <c r="XDH309" i="106"/>
  <c r="XDH174" i="106"/>
  <c r="A360" i="106"/>
  <c r="A436" i="106"/>
  <c r="XDH222" i="106"/>
  <c r="XDH441" i="106"/>
  <c r="A400" i="106"/>
  <c r="A72" i="106"/>
  <c r="A165" i="106"/>
  <c r="A474" i="106"/>
  <c r="XDH379" i="106"/>
  <c r="A487" i="106"/>
  <c r="A161" i="106"/>
  <c r="XDH336" i="106"/>
  <c r="A477" i="106"/>
  <c r="XDH80" i="106"/>
  <c r="XDH125" i="106"/>
  <c r="A219" i="106"/>
  <c r="A427" i="106"/>
  <c r="A406" i="106"/>
  <c r="XDH479" i="106"/>
  <c r="A113" i="106"/>
  <c r="A235" i="106"/>
  <c r="A258" i="106"/>
  <c r="A352" i="106"/>
  <c r="A260" i="106"/>
  <c r="A89" i="106"/>
  <c r="XDH181" i="106"/>
  <c r="XDH286" i="106"/>
  <c r="A134" i="106"/>
  <c r="A426" i="106"/>
  <c r="XDH330" i="106"/>
  <c r="XDH140" i="106"/>
  <c r="XDH295" i="106"/>
  <c r="A336" i="106"/>
  <c r="XDH451" i="106"/>
  <c r="XDH137" i="106"/>
  <c r="A424" i="106"/>
  <c r="A481" i="106"/>
  <c r="XDE11" i="106"/>
  <c r="A104" i="106"/>
  <c r="XDH369" i="106"/>
  <c r="A441" i="106"/>
  <c r="A337" i="106"/>
  <c r="XDH498" i="106"/>
  <c r="XDH253" i="106"/>
  <c r="XDH71" i="106"/>
  <c r="XDH331" i="106"/>
  <c r="XDH490" i="106"/>
  <c r="A306" i="106"/>
  <c r="A380" i="106"/>
  <c r="XDH485" i="106"/>
  <c r="XDH144" i="106"/>
  <c r="XDH156" i="106"/>
  <c r="XDH497" i="106"/>
  <c r="A456" i="106"/>
  <c r="A204" i="106"/>
  <c r="XDH164" i="106"/>
  <c r="A300" i="106"/>
  <c r="A452" i="106"/>
  <c r="A301" i="106"/>
  <c r="A111" i="106"/>
  <c r="XDH452" i="106"/>
  <c r="XDH147" i="106"/>
  <c r="XDE12" i="106"/>
  <c r="XDH450" i="106"/>
  <c r="XDE31" i="106"/>
  <c r="XDH264" i="106"/>
  <c r="XDH298" i="106"/>
  <c r="A478" i="106"/>
  <c r="XDH315" i="106"/>
  <c r="XDH186" i="106"/>
  <c r="A243" i="106"/>
  <c r="A184" i="106"/>
  <c r="A138" i="106"/>
  <c r="XDH476" i="106"/>
  <c r="XDH116" i="106"/>
  <c r="XDH259" i="106"/>
  <c r="XDH191" i="106"/>
  <c r="XDH468" i="106"/>
  <c r="XDH387" i="106"/>
  <c r="XDH401" i="106"/>
  <c r="XDH154" i="106"/>
  <c r="XDH155" i="106"/>
  <c r="XDG63" i="106"/>
  <c r="A127" i="106"/>
  <c r="A2" i="106"/>
  <c r="A110" i="106"/>
  <c r="A132" i="106"/>
  <c r="XDH134" i="106"/>
  <c r="A170" i="106"/>
  <c r="A101" i="106"/>
  <c r="XDH127" i="106"/>
  <c r="XDH305" i="106"/>
  <c r="A307" i="106"/>
  <c r="A259" i="106"/>
  <c r="XDE13" i="106"/>
  <c r="A186" i="106"/>
  <c r="A209" i="106"/>
  <c r="XDK3" i="106"/>
  <c r="A190" i="106"/>
  <c r="XDH296" i="106"/>
  <c r="A174" i="106"/>
  <c r="A455" i="106"/>
  <c r="A142" i="106"/>
  <c r="A294" i="106"/>
  <c r="XDH94" i="106"/>
  <c r="A472" i="106"/>
  <c r="XDH391" i="106"/>
  <c r="XDH187" i="106"/>
  <c r="A328" i="106"/>
  <c r="XDH213" i="106"/>
  <c r="XDH475" i="106"/>
  <c r="XDH283" i="106"/>
  <c r="A295" i="106"/>
  <c r="A425" i="106"/>
  <c r="XDH471" i="106"/>
  <c r="XDH280" i="106"/>
  <c r="XDH240" i="106"/>
  <c r="XDH255" i="106"/>
  <c r="XDH411" i="106"/>
  <c r="A316" i="106"/>
  <c r="A342" i="106"/>
  <c r="XDE57" i="106"/>
  <c r="XDE33" i="106"/>
  <c r="XDH223" i="106"/>
  <c r="XDH460" i="106"/>
  <c r="XDH224" i="106"/>
  <c r="XDH75" i="106"/>
  <c r="XDH488" i="106"/>
  <c r="A255" i="106"/>
  <c r="A302" i="106"/>
  <c r="XDE25" i="106"/>
  <c r="A261" i="106"/>
  <c r="A185" i="106"/>
  <c r="A109" i="106"/>
  <c r="XDE2" i="106"/>
  <c r="XDH433" i="106"/>
  <c r="A94" i="106"/>
  <c r="XDH201" i="106"/>
  <c r="XDH439" i="106"/>
  <c r="XDH165" i="106"/>
  <c r="A147" i="106"/>
  <c r="A167" i="106"/>
  <c r="XDH163" i="106"/>
  <c r="A430" i="106"/>
  <c r="A374" i="106"/>
  <c r="A118" i="106"/>
  <c r="A376" i="106"/>
  <c r="XDH257" i="106"/>
  <c r="A178" i="106"/>
  <c r="A141" i="106"/>
  <c r="XDH419" i="106"/>
  <c r="A469" i="106"/>
  <c r="XDH454" i="106"/>
  <c r="A375" i="106"/>
  <c r="A355" i="106"/>
  <c r="A153" i="106"/>
  <c r="XDH284" i="106"/>
  <c r="XDH366" i="106"/>
  <c r="XDH297" i="106"/>
  <c r="XDH360" i="106"/>
  <c r="XDH329" i="106"/>
  <c r="A191" i="106"/>
  <c r="A378" i="106"/>
  <c r="XDH489" i="106"/>
  <c r="A359" i="106"/>
  <c r="A95" i="106"/>
  <c r="A433" i="106"/>
  <c r="A446" i="106"/>
  <c r="XDH389" i="106"/>
  <c r="A225" i="106"/>
  <c r="A268" i="106"/>
  <c r="A276" i="106"/>
  <c r="A345" i="106"/>
  <c r="A106" i="106"/>
  <c r="XDH406" i="106"/>
  <c r="XDH170" i="106"/>
  <c r="A115" i="106"/>
  <c r="A285" i="106"/>
  <c r="XDH143" i="106"/>
  <c r="XDH338" i="106"/>
  <c r="A108" i="106"/>
  <c r="A475" i="106"/>
  <c r="XDH428" i="106"/>
  <c r="XDH121" i="106"/>
  <c r="A411" i="106"/>
  <c r="XDH478" i="106"/>
  <c r="A330" i="106"/>
  <c r="XDH243" i="106"/>
  <c r="XDH403" i="106"/>
  <c r="XDH302" i="106"/>
  <c r="A218" i="106"/>
  <c r="XDH88" i="106"/>
  <c r="XDH249" i="106"/>
  <c r="XDH190" i="106"/>
  <c r="A461" i="106"/>
  <c r="A407" i="106"/>
  <c r="XDE29" i="106"/>
  <c r="A175" i="106"/>
  <c r="A102" i="106"/>
  <c r="A244" i="106"/>
  <c r="XDH431" i="106"/>
  <c r="A392" i="106"/>
  <c r="A3" i="106"/>
  <c r="XDH241" i="106"/>
  <c r="XDH93" i="106"/>
  <c r="A253" i="106"/>
  <c r="A298" i="106"/>
  <c r="XDH274" i="106"/>
  <c r="A200" i="106"/>
  <c r="A246" i="106"/>
  <c r="A486" i="106"/>
  <c r="A458" i="106"/>
  <c r="A495" i="106"/>
  <c r="XDH196" i="106"/>
  <c r="XDH139" i="106"/>
  <c r="A449" i="106"/>
  <c r="A128" i="106"/>
  <c r="XDH227" i="106"/>
  <c r="A199" i="106"/>
  <c r="XDE46" i="106"/>
  <c r="XDH209" i="106"/>
  <c r="XDH354" i="106"/>
  <c r="XDH131" i="106"/>
  <c r="A198" i="106"/>
  <c r="A193" i="106"/>
  <c r="XDH120" i="106"/>
  <c r="A271" i="106"/>
  <c r="XDH410" i="106"/>
  <c r="XDH252" i="106"/>
  <c r="A403" i="106"/>
  <c r="A96" i="106"/>
  <c r="A399" i="106"/>
  <c r="A262" i="106"/>
  <c r="XDH320" i="106"/>
  <c r="A344" i="106"/>
  <c r="XDH279" i="106"/>
  <c r="A216" i="106"/>
  <c r="XDH328" i="106"/>
  <c r="XDE32" i="106"/>
  <c r="A179" i="106"/>
  <c r="XDK4" i="106"/>
  <c r="XDH96" i="106"/>
  <c r="XDH356" i="106"/>
  <c r="A412" i="106"/>
  <c r="XDH148" i="106"/>
  <c r="XDH417" i="106"/>
  <c r="XDH413" i="106"/>
  <c r="XDE45" i="106"/>
  <c r="A201" i="106"/>
  <c r="A112" i="106"/>
  <c r="XDH211" i="106"/>
  <c r="XDH364" i="106"/>
  <c r="A234" i="106"/>
  <c r="XDH333" i="106"/>
  <c r="XDH265" i="106"/>
  <c r="XDE10" i="106"/>
  <c r="XDH373" i="106"/>
  <c r="A297" i="106"/>
  <c r="A230" i="106"/>
  <c r="A382" i="106"/>
  <c r="A107" i="106"/>
  <c r="XDE21" i="106"/>
  <c r="XDH385" i="106"/>
  <c r="XDH457" i="106"/>
  <c r="XDE24" i="106"/>
  <c r="XDH233" i="106"/>
  <c r="XDH130" i="106"/>
  <c r="XDH126" i="106"/>
  <c r="A272" i="106"/>
  <c r="A114" i="106"/>
  <c r="A324" i="106"/>
  <c r="XDE15" i="106"/>
  <c r="XDH484" i="106"/>
  <c r="XDE14" i="106"/>
  <c r="XDH398" i="106"/>
  <c r="XDH416" i="106"/>
  <c r="XDH79" i="106"/>
  <c r="XDH317" i="106"/>
  <c r="XDH92" i="106"/>
  <c r="A270" i="106"/>
  <c r="A340" i="106"/>
  <c r="XDE16" i="106"/>
  <c r="XDH440" i="106"/>
  <c r="XDH172" i="106"/>
  <c r="XDH166" i="106"/>
  <c r="A4" i="106"/>
  <c r="XDK5" i="106"/>
  <c r="A5" i="106"/>
  <c r="XDK6" i="106"/>
  <c r="XDK7" i="106"/>
  <c r="A6" i="106"/>
  <c r="A7" i="106"/>
  <c r="XDK8" i="106"/>
  <c r="XDK9" i="106"/>
  <c r="XDK10" i="106"/>
  <c r="A8" i="106"/>
  <c r="XDK11" i="106"/>
  <c r="XDK12" i="106"/>
  <c r="A9" i="106"/>
  <c r="A10" i="106"/>
  <c r="XDK13" i="106"/>
  <c r="A11" i="106"/>
  <c r="XDK14" i="106"/>
  <c r="XDK15" i="106"/>
  <c r="A12" i="106"/>
  <c r="XDK16" i="106"/>
  <c r="XDK17" i="106"/>
  <c r="A13" i="106"/>
  <c r="A14" i="106"/>
  <c r="XDK18" i="106"/>
  <c r="XDK19" i="106"/>
  <c r="A15" i="106"/>
  <c r="A16" i="106"/>
  <c r="A17" i="106"/>
  <c r="XDK20" i="106"/>
  <c r="XDK21" i="106"/>
  <c r="A18" i="106"/>
  <c r="XDK22" i="106"/>
  <c r="A19" i="106"/>
  <c r="A20" i="106"/>
  <c r="XDK23" i="106"/>
  <c r="XDK24" i="106"/>
  <c r="A21" i="106"/>
  <c r="XDK25" i="106"/>
  <c r="A22" i="106"/>
  <c r="XDK26" i="106"/>
  <c r="A23" i="106"/>
  <c r="XDK27" i="106"/>
  <c r="A24" i="106"/>
  <c r="XDK28" i="106"/>
  <c r="A25" i="106"/>
  <c r="A26" i="106"/>
  <c r="XDK29" i="106"/>
  <c r="A27" i="106"/>
  <c r="XDK30" i="106"/>
  <c r="A28" i="106"/>
  <c r="XDK31" i="106"/>
  <c r="XDK32" i="106"/>
  <c r="A29" i="106"/>
  <c r="XDK33" i="106"/>
  <c r="A30" i="106"/>
  <c r="XDK34" i="106"/>
  <c r="A31" i="106"/>
  <c r="A32" i="106"/>
  <c r="A33" i="106"/>
  <c r="XDK35" i="106"/>
  <c r="A34" i="106"/>
  <c r="XDK36" i="106"/>
  <c r="A35" i="106"/>
  <c r="A36" i="106"/>
  <c r="XDK37" i="106"/>
  <c r="A37" i="106"/>
  <c r="A38" i="106"/>
  <c r="XDK38" i="106"/>
  <c r="A39" i="106"/>
  <c r="A40" i="106"/>
  <c r="XDK39" i="106"/>
  <c r="A41" i="106"/>
  <c r="XDK40" i="106"/>
  <c r="A42" i="106"/>
  <c r="XDK41" i="106"/>
  <c r="A43" i="106"/>
  <c r="XDK42" i="106"/>
  <c r="A44" i="106"/>
  <c r="XDK43" i="106"/>
  <c r="A45" i="106"/>
  <c r="XDK44" i="106"/>
  <c r="XDK45" i="106"/>
  <c r="A46" i="106"/>
  <c r="XDK46" i="106"/>
  <c r="A47" i="106"/>
  <c r="XDK47" i="106"/>
  <c r="XDK48" i="106"/>
  <c r="A48" i="106"/>
  <c r="XDK49" i="106"/>
  <c r="XDK50" i="106"/>
  <c r="A49" i="106"/>
  <c r="XDK51" i="106"/>
  <c r="A50" i="106"/>
  <c r="XDK52" i="106"/>
  <c r="XDK53" i="106" s="1"/>
  <c r="XDK54" i="106"/>
  <c r="XDK55" i="106"/>
  <c r="A51" i="106"/>
  <c r="A52" i="106"/>
  <c r="XDK56" i="106"/>
  <c r="A53" i="106"/>
  <c r="A54" i="106"/>
  <c r="XDK57" i="106"/>
  <c r="A55" i="106"/>
  <c r="A56" i="106"/>
  <c r="A57" i="106"/>
  <c r="A58" i="106"/>
  <c r="A59" i="106"/>
  <c r="A60" i="106" s="1"/>
  <c r="XDG172" i="106" l="1"/>
  <c r="XDG166" i="106"/>
  <c r="XDG440" i="106"/>
  <c r="XDD16" i="106"/>
  <c r="XDG92" i="106"/>
  <c r="XDG317" i="106"/>
  <c r="XDG79" i="106"/>
  <c r="XDG398" i="106"/>
  <c r="XDG416" i="106"/>
  <c r="XDD14" i="106"/>
  <c r="XDG484" i="106"/>
  <c r="XDD15" i="106"/>
  <c r="XDG130" i="106"/>
  <c r="XDG233" i="106"/>
  <c r="XDG126" i="106"/>
  <c r="XDD24" i="106"/>
  <c r="XDG457" i="106"/>
  <c r="XDG385" i="106"/>
  <c r="XDD21" i="106"/>
  <c r="XDD10" i="106"/>
  <c r="XDG373" i="106"/>
  <c r="XDG265" i="106"/>
  <c r="XDG333" i="106"/>
  <c r="XDG364" i="106"/>
  <c r="XDG211" i="106"/>
  <c r="XDD45" i="106"/>
  <c r="XDG413" i="106"/>
  <c r="XDG417" i="106"/>
  <c r="XDG148" i="106"/>
  <c r="XDG356" i="106"/>
  <c r="XDG96" i="106"/>
  <c r="XDD32" i="106"/>
  <c r="XDG328" i="106"/>
  <c r="XDG279" i="106"/>
  <c r="XDG320" i="106"/>
  <c r="XDG252" i="106"/>
  <c r="XDG410" i="106"/>
  <c r="XDG120" i="106"/>
  <c r="XDG209" i="106"/>
  <c r="XDG131" i="106"/>
  <c r="XDG354" i="106"/>
  <c r="XDD46" i="106"/>
  <c r="XDG227" i="106"/>
  <c r="XDG139" i="106"/>
  <c r="XDG196" i="106"/>
  <c r="XDG274" i="106"/>
  <c r="XDG93" i="106"/>
  <c r="XDG241" i="106"/>
  <c r="XDG431" i="106"/>
  <c r="XDD29" i="106"/>
  <c r="XDG190" i="106"/>
  <c r="XDG249" i="106"/>
  <c r="XDG88" i="106"/>
  <c r="XDG302" i="106"/>
  <c r="XDG403" i="106"/>
  <c r="XDG243" i="106"/>
  <c r="XDG478" i="106"/>
  <c r="XDG121" i="106"/>
  <c r="XDG428" i="106"/>
  <c r="XDG338" i="106"/>
  <c r="XDG143" i="106"/>
  <c r="XDG170" i="106"/>
  <c r="XDG406" i="106"/>
  <c r="XDG389" i="106"/>
  <c r="XDG489" i="106"/>
  <c r="XDG366" i="106"/>
  <c r="XDG329" i="106"/>
  <c r="XDG360" i="106"/>
  <c r="XDG297" i="106"/>
  <c r="XDG284" i="106"/>
  <c r="XDG454" i="106"/>
  <c r="XDG419" i="106"/>
  <c r="XDG257" i="106"/>
  <c r="XDG163" i="106"/>
  <c r="XDG165" i="106"/>
  <c r="XDG439" i="106"/>
  <c r="XDG201" i="106"/>
  <c r="XDG433" i="106"/>
  <c r="XDD2" i="106"/>
  <c r="XDD25" i="106"/>
  <c r="XDG488" i="106"/>
  <c r="XDG75" i="106"/>
  <c r="XDG224" i="106"/>
  <c r="XDG460" i="106"/>
  <c r="XDG223" i="106"/>
  <c r="XDD33" i="106"/>
  <c r="XDD57" i="106"/>
  <c r="XDG411" i="106"/>
  <c r="XDG255" i="106"/>
  <c r="XDG240" i="106"/>
  <c r="XDG280" i="106"/>
  <c r="XDG471" i="106"/>
  <c r="XDG283" i="106"/>
  <c r="XDG475" i="106"/>
  <c r="XDG213" i="106"/>
  <c r="XDG187" i="106"/>
  <c r="XDG391" i="106"/>
  <c r="XDG94" i="106"/>
  <c r="XDG296" i="106"/>
  <c r="XDD13" i="106"/>
  <c r="XDG305" i="106"/>
  <c r="XDG127" i="106"/>
  <c r="XDG134" i="106"/>
  <c r="XDG155" i="106"/>
  <c r="XDG154" i="106"/>
  <c r="XDG401" i="106"/>
  <c r="XDG387" i="106"/>
  <c r="XDG468" i="106"/>
  <c r="XDG191" i="106"/>
  <c r="XDG259" i="106"/>
  <c r="XDG116" i="106"/>
  <c r="XDG476" i="106"/>
  <c r="XDG186" i="106"/>
  <c r="XDG315" i="106"/>
  <c r="XDG298" i="106"/>
  <c r="XDG264" i="106"/>
  <c r="XDG147" i="106"/>
  <c r="XDD31" i="106"/>
  <c r="XDG450" i="106"/>
  <c r="XDD12" i="106"/>
  <c r="XDG452" i="106"/>
  <c r="XDG164" i="106"/>
  <c r="XDG497" i="106"/>
  <c r="XDG156" i="106"/>
  <c r="XDG144" i="106"/>
  <c r="XDG485" i="106"/>
  <c r="XDG490" i="106"/>
  <c r="XDG331" i="106"/>
  <c r="XDG71" i="106"/>
  <c r="XDG253" i="106"/>
  <c r="XDG498" i="106"/>
  <c r="XDG369" i="106"/>
  <c r="XDD11" i="106"/>
  <c r="XDG137" i="106"/>
  <c r="XDG451" i="106"/>
  <c r="XDG295" i="106"/>
  <c r="XDG140" i="106"/>
  <c r="XDG330" i="106"/>
  <c r="XDG286" i="106"/>
  <c r="XDG181" i="106"/>
  <c r="XDG479" i="106"/>
  <c r="XDG125" i="106"/>
  <c r="XDG80" i="106"/>
  <c r="XDG336" i="106"/>
  <c r="XDG379" i="106"/>
  <c r="XDG441" i="106"/>
  <c r="XDG222" i="106"/>
  <c r="XDG174" i="106"/>
  <c r="XDG309" i="106"/>
  <c r="XDG381" i="106"/>
  <c r="XDG393" i="106"/>
  <c r="XDG95" i="106"/>
  <c r="XDG107" i="106"/>
  <c r="XDG375" i="106"/>
  <c r="XDG76" i="106"/>
  <c r="XDG173" i="106"/>
  <c r="XDG459" i="106"/>
  <c r="XDG138" i="106"/>
  <c r="XDD40" i="106"/>
  <c r="XDG237" i="106"/>
  <c r="XDG404" i="106"/>
  <c r="XDG324" i="106"/>
  <c r="XDG258" i="106"/>
  <c r="XDG267" i="106"/>
  <c r="XDG158" i="106"/>
  <c r="XDG386" i="106"/>
  <c r="XDG418" i="106"/>
  <c r="XDG470" i="106"/>
  <c r="XDG494" i="106"/>
  <c r="XDG420" i="106"/>
  <c r="XDG422" i="106"/>
  <c r="XDG175" i="106"/>
  <c r="XDG378" i="106"/>
  <c r="XDG491" i="106"/>
  <c r="XDG350" i="106"/>
  <c r="XDG74" i="106"/>
  <c r="XDD60" i="106"/>
  <c r="XDG337" i="106"/>
  <c r="XDG359" i="106"/>
  <c r="XDG115" i="106"/>
  <c r="XDD7" i="106"/>
  <c r="XDG271" i="106"/>
  <c r="XDG262" i="106"/>
  <c r="XDG432" i="106"/>
  <c r="XDD36" i="106"/>
  <c r="XDG246" i="106"/>
  <c r="XDG400" i="106"/>
  <c r="XDG483" i="106"/>
  <c r="XDG351" i="106"/>
  <c r="XDG314" i="106"/>
  <c r="XDG102" i="106"/>
  <c r="XDG256" i="106"/>
  <c r="XDG171" i="106"/>
  <c r="XDG244" i="106"/>
  <c r="XDG448" i="106"/>
  <c r="XDD27" i="106"/>
  <c r="XDG326" i="106"/>
  <c r="XDG402" i="106"/>
  <c r="XDG272" i="106"/>
  <c r="XDG182" i="106"/>
  <c r="XDG343" i="106"/>
  <c r="XDD41" i="106"/>
  <c r="XDG159" i="106"/>
  <c r="XDD59" i="106"/>
  <c r="XDG129" i="106"/>
  <c r="XDD53" i="106"/>
  <c r="XDG335" i="106"/>
  <c r="XDG353" i="106"/>
  <c r="XDG195" i="106"/>
  <c r="XDG473" i="106"/>
  <c r="XDG344" i="106"/>
  <c r="XDG496" i="106"/>
  <c r="XDD3" i="106"/>
  <c r="XDD42" i="106"/>
  <c r="XDG84" i="106"/>
  <c r="XDG434" i="106"/>
  <c r="XDG193" i="106"/>
  <c r="XDG355" i="106"/>
  <c r="XDG78" i="106"/>
  <c r="XDG368" i="106"/>
  <c r="XDG250" i="106"/>
  <c r="XDG455" i="106"/>
  <c r="XDG210" i="106"/>
  <c r="XDG203" i="106"/>
  <c r="XDD4" i="106"/>
  <c r="XDG136" i="106"/>
  <c r="XDG135" i="106"/>
  <c r="XDG260" i="106"/>
  <c r="XDG493" i="106"/>
  <c r="XDG269" i="106"/>
  <c r="XDG141" i="106"/>
  <c r="XDG133" i="106"/>
  <c r="XDG150" i="106"/>
  <c r="XDG214" i="106"/>
  <c r="XDG466" i="106"/>
  <c r="XDG105" i="106"/>
  <c r="XDD23" i="106"/>
  <c r="XDG365" i="106"/>
  <c r="XDG346" i="106"/>
  <c r="XDG149" i="106"/>
  <c r="XDG340" i="106"/>
  <c r="XDG87" i="106"/>
  <c r="XDG358" i="106"/>
  <c r="XDG188" i="106"/>
  <c r="XDG70" i="106"/>
  <c r="XDG325" i="106"/>
  <c r="XDG85" i="106"/>
  <c r="XDG86" i="106"/>
  <c r="XDG313" i="106"/>
  <c r="XDG216" i="106"/>
  <c r="XDG208" i="106"/>
  <c r="XDG464" i="106"/>
  <c r="XDG467" i="106"/>
  <c r="XDG461" i="106"/>
  <c r="XDG312" i="106"/>
  <c r="XDG480" i="106"/>
  <c r="XDG301" i="106"/>
  <c r="XDG474" i="106"/>
  <c r="XDG308" i="106"/>
  <c r="XDG285" i="106"/>
  <c r="XDG101" i="106"/>
  <c r="XDG266" i="106"/>
  <c r="XDD34" i="106"/>
  <c r="XDG228" i="106"/>
  <c r="XDG263" i="106"/>
  <c r="XDG435" i="106"/>
  <c r="XDG367" i="106"/>
  <c r="XDG362" i="106"/>
  <c r="XDG300" i="106"/>
  <c r="XDG287" i="106"/>
  <c r="XDG198" i="106"/>
  <c r="XDG112" i="106"/>
  <c r="XDG405" i="106"/>
  <c r="XDD51" i="106"/>
  <c r="XDG183" i="106"/>
  <c r="XDG444" i="106"/>
  <c r="XDG382" i="106"/>
  <c r="XDG446" i="106"/>
  <c r="XDG278" i="106"/>
  <c r="XDG316" i="106"/>
  <c r="XDD50" i="106"/>
  <c r="XDG288" i="106"/>
  <c r="XDG270" i="106"/>
  <c r="XDG152" i="106"/>
  <c r="XDG132" i="106"/>
  <c r="XDD55" i="106"/>
  <c r="XDG289" i="106"/>
  <c r="XDG500" i="106"/>
  <c r="XDG268" i="106"/>
  <c r="XDG251" i="106"/>
  <c r="XDD5" i="106"/>
  <c r="XDG245" i="106"/>
  <c r="XDG291" i="106"/>
  <c r="XDG321" i="106"/>
  <c r="XDG111" i="106"/>
  <c r="XDG380" i="106"/>
  <c r="XDD22" i="106"/>
  <c r="XDG184" i="106"/>
  <c r="XDG103" i="106"/>
  <c r="XDG339" i="106"/>
  <c r="XDD20" i="106"/>
  <c r="XDG363" i="106"/>
  <c r="XDG179" i="106"/>
  <c r="XDG292" i="106"/>
  <c r="XDD26" i="106"/>
  <c r="XDG90" i="106"/>
  <c r="XDG177" i="106"/>
  <c r="XDD54" i="106"/>
  <c r="XDG146" i="106"/>
  <c r="XDG409" i="106"/>
  <c r="XDG341" i="106"/>
  <c r="XDG275" i="106"/>
  <c r="XDG151" i="106"/>
  <c r="XDG311" i="106"/>
  <c r="XDD52" i="106"/>
  <c r="XDG430" i="106"/>
  <c r="XDG445" i="106"/>
  <c r="XDG169" i="106"/>
  <c r="XDG427" i="106"/>
  <c r="XDG160" i="106"/>
  <c r="XDD49" i="106"/>
  <c r="XDG157" i="106"/>
  <c r="XDG456" i="106"/>
  <c r="XDG226" i="106"/>
  <c r="XDG73" i="106"/>
  <c r="XDG447" i="106"/>
  <c r="XDG436" i="106"/>
  <c r="XDG361" i="106"/>
  <c r="XDG334" i="106"/>
  <c r="XDG206" i="106"/>
  <c r="XDD37" i="106"/>
  <c r="XDG200" i="106"/>
  <c r="XDG239" i="106"/>
  <c r="XDG83" i="106"/>
  <c r="XDG110" i="106"/>
  <c r="XDG234" i="106"/>
  <c r="XDG307" i="106"/>
  <c r="XDG247" i="106"/>
  <c r="XDG342" i="106"/>
  <c r="XDG477" i="106"/>
  <c r="XDG218" i="106"/>
  <c r="XDG204" i="106"/>
  <c r="XDD44" i="106"/>
  <c r="XDG408" i="106"/>
  <c r="XDG394" i="106"/>
  <c r="XDG282" i="106"/>
  <c r="XDG458" i="106"/>
  <c r="XDG99" i="106"/>
  <c r="XDG231" i="106"/>
  <c r="XDG194" i="106"/>
  <c r="XDG119" i="106"/>
  <c r="XDG412" i="106"/>
  <c r="XDG294" i="106"/>
  <c r="XDG185" i="106"/>
  <c r="XDG486" i="106"/>
  <c r="XDG293" i="106"/>
  <c r="XDG347" i="106"/>
  <c r="XDD30" i="106"/>
  <c r="XDD8" i="106"/>
  <c r="XDG487" i="106"/>
  <c r="XDG97" i="106"/>
  <c r="XDG327" i="106"/>
  <c r="XDG89" i="106"/>
  <c r="XDG109" i="106"/>
  <c r="XDG472" i="106"/>
  <c r="XDG176" i="106"/>
  <c r="XDG242" i="106"/>
  <c r="XDG415" i="106"/>
  <c r="XDG113" i="106"/>
  <c r="XDG443" i="106"/>
  <c r="XDG217" i="106"/>
  <c r="XDG108" i="106"/>
  <c r="XDD18" i="106"/>
  <c r="XDD43" i="106"/>
  <c r="XDG290" i="106"/>
  <c r="XDG390" i="106"/>
  <c r="XDG303" i="106"/>
  <c r="XDG310" i="106"/>
  <c r="XDG299" i="106"/>
  <c r="XDG345" i="106"/>
  <c r="XDG238" i="106"/>
  <c r="XDG376" i="106"/>
  <c r="XDG81" i="106"/>
  <c r="XDG499" i="106"/>
  <c r="XDG82" i="106"/>
  <c r="XDG388" i="106"/>
  <c r="XDG449" i="106"/>
  <c r="XDG426" i="106"/>
  <c r="XDG273" i="106"/>
  <c r="XDG442" i="106"/>
  <c r="XDG104" i="106"/>
  <c r="XDG192" i="106"/>
  <c r="XDG304" i="106"/>
  <c r="XDG277" i="106"/>
  <c r="XDG463" i="106"/>
  <c r="XDG407" i="106"/>
  <c r="XDG370" i="106"/>
  <c r="XDG215" i="106"/>
  <c r="XDD17" i="106"/>
  <c r="XDG423" i="106"/>
  <c r="XDG106" i="106"/>
  <c r="XDG161" i="106"/>
  <c r="XDG123" i="106"/>
  <c r="XDG306" i="106"/>
  <c r="XDG276" i="106"/>
  <c r="XDG180" i="106"/>
  <c r="XDG318" i="106"/>
  <c r="XDG383" i="106"/>
  <c r="XDG492" i="106"/>
  <c r="XDG396" i="106"/>
  <c r="XDG124" i="106"/>
  <c r="XDD58" i="106"/>
  <c r="XDG230" i="106"/>
  <c r="XDD39" i="106"/>
  <c r="XDG162" i="106"/>
  <c r="XDG261" i="106"/>
  <c r="XDG374" i="106"/>
  <c r="XDG122" i="106"/>
  <c r="XDG199" i="106"/>
  <c r="XDG114" i="106"/>
  <c r="XDD9" i="106"/>
  <c r="XDG248" i="106"/>
  <c r="XDG323" i="106"/>
  <c r="XDG371" i="106"/>
  <c r="XDD6" i="106"/>
  <c r="XDG91" i="106"/>
  <c r="XDG469" i="106"/>
  <c r="XDD56" i="106"/>
  <c r="XDG357" i="106"/>
  <c r="XDG178" i="106"/>
  <c r="XDG392" i="106"/>
  <c r="XDG429" i="106"/>
  <c r="XDG438" i="106"/>
  <c r="XDG220" i="106"/>
  <c r="XDG481" i="106"/>
  <c r="XDG100" i="106"/>
  <c r="XDG319" i="106"/>
  <c r="XDG349" i="106"/>
  <c r="XDG153" i="106"/>
  <c r="XDD35" i="106"/>
  <c r="XDG352" i="106"/>
  <c r="XDG189" i="106"/>
  <c r="XDG453" i="106"/>
  <c r="XDG72" i="106"/>
  <c r="XDG117" i="106"/>
  <c r="XDG219" i="106"/>
  <c r="XDG372" i="106"/>
  <c r="XDG421" i="106"/>
  <c r="XDG482" i="106"/>
  <c r="XDG221" i="106"/>
  <c r="XDG348" i="106"/>
  <c r="XDG145" i="106"/>
  <c r="XDG207" i="106"/>
  <c r="XDG197" i="106"/>
  <c r="XDG425" i="106"/>
  <c r="XDD38" i="106"/>
  <c r="XDG399" i="106"/>
  <c r="XDG98" i="106"/>
  <c r="XDD47" i="106"/>
  <c r="XDG77" i="106"/>
  <c r="XDG414" i="106"/>
  <c r="XDG322" i="106"/>
  <c r="XDG232" i="106"/>
  <c r="XDG395" i="106"/>
  <c r="XDG205" i="106"/>
  <c r="XDG168" i="106"/>
  <c r="XDG229" i="106"/>
  <c r="XDD48" i="106"/>
  <c r="XDG397" i="106"/>
  <c r="XDG377" i="106"/>
  <c r="XDG142" i="106"/>
  <c r="XDG254" i="106"/>
  <c r="XDD28" i="106"/>
  <c r="XDG424" i="106"/>
  <c r="XDD19" i="106"/>
  <c r="XDG462" i="106"/>
  <c r="XDG118" i="106"/>
  <c r="XDG128" i="106"/>
  <c r="XDG495" i="106"/>
  <c r="XDG212" i="106"/>
  <c r="XDG332" i="106"/>
  <c r="XDG437" i="106"/>
  <c r="XDG202" i="106"/>
  <c r="XDG384" i="106"/>
  <c r="XDG236" i="106"/>
  <c r="XDG465" i="106"/>
  <c r="XDG225" i="106"/>
  <c r="XDG167" i="106"/>
  <c r="XDG281" i="106"/>
  <c r="XDG235" i="106"/>
  <c r="A61" i="106"/>
  <c r="XDK58" i="106"/>
  <c r="XDK59" i="106" s="1"/>
  <c r="A62" i="106"/>
  <c r="XDD62" i="106" l="1"/>
  <c r="XDD61" i="106"/>
  <c r="A63" i="106"/>
  <c r="A64" i="106"/>
  <c r="A65" i="106" s="1"/>
  <c r="A66" i="106"/>
  <c r="A67" i="106"/>
  <c r="A68" i="106"/>
  <c r="A69" i="106"/>
  <c r="XDL14" i="106" l="1"/>
  <c r="XDL44" i="106"/>
  <c r="XDL28" i="106"/>
  <c r="XDL13" i="106"/>
  <c r="XDL46" i="106"/>
  <c r="XDL15" i="106"/>
  <c r="XDL33" i="106"/>
  <c r="XDL36" i="106"/>
  <c r="XDL4" i="106"/>
  <c r="XDL42" i="106"/>
  <c r="XDL19" i="106"/>
  <c r="XDL9" i="106"/>
  <c r="XDL25" i="106"/>
  <c r="XDL51" i="106"/>
  <c r="XDL23" i="106"/>
  <c r="XDL16" i="106"/>
  <c r="XDL21" i="106"/>
  <c r="XDL52" i="106"/>
  <c r="XDL49" i="106"/>
  <c r="XDL24" i="106"/>
  <c r="XDL20" i="106"/>
  <c r="XDL37" i="106"/>
  <c r="XDL56" i="106"/>
  <c r="XDL26" i="106"/>
  <c r="XDL59" i="106"/>
  <c r="XDL31" i="106"/>
  <c r="XDL30" i="106"/>
  <c r="XDL35" i="106"/>
  <c r="XDL47" i="106"/>
  <c r="XDL22" i="106"/>
  <c r="XDL10" i="106"/>
  <c r="XDL55" i="106"/>
  <c r="XDL18" i="106"/>
  <c r="XDL50" i="106"/>
  <c r="XDL8" i="106"/>
  <c r="XDL5" i="106"/>
  <c r="XDL40" i="106"/>
  <c r="XDL11" i="106"/>
  <c r="XDL48" i="106"/>
  <c r="XDL6" i="106"/>
  <c r="XDL12" i="106"/>
  <c r="XDL32" i="106"/>
  <c r="XDL54" i="106"/>
  <c r="XDL34" i="106"/>
  <c r="XDL39" i="106"/>
  <c r="XDL27" i="106"/>
  <c r="XDL29" i="106"/>
  <c r="XDL53" i="106"/>
  <c r="XDL3" i="106"/>
  <c r="XDL38" i="106"/>
  <c r="XDL17" i="106"/>
  <c r="XDL58" i="106"/>
  <c r="XDL57" i="106"/>
  <c r="XDL43" i="106"/>
  <c r="XDL2" i="106"/>
  <c r="XDL41" i="106"/>
  <c r="XDL45" i="106"/>
  <c r="XDL7" i="106"/>
  <c r="XDG64" i="106"/>
  <c r="XDG69" i="106"/>
  <c r="XDG65" i="106"/>
  <c r="XDG66" i="106"/>
  <c r="XDG67" i="106"/>
  <c r="XDG68" i="106"/>
  <c r="XDF63" i="106"/>
  <c r="XDF2" i="106" l="1"/>
  <c r="XDF21" i="106"/>
  <c r="XDI275" i="106"/>
  <c r="XDI121" i="106"/>
  <c r="XDI231" i="106"/>
  <c r="XDI402" i="106"/>
  <c r="XDI443" i="106"/>
  <c r="XDI375" i="106"/>
  <c r="XDF10" i="106"/>
  <c r="XDI247" i="106"/>
  <c r="XDI258" i="106"/>
  <c r="XDI84" i="106"/>
  <c r="XDF55" i="106"/>
  <c r="XDI162" i="106"/>
  <c r="XDF43" i="106"/>
  <c r="XDF32" i="106"/>
  <c r="XDI149" i="106"/>
  <c r="XDI161" i="106"/>
  <c r="XDI90" i="106"/>
  <c r="XDI493" i="106"/>
  <c r="XDF40" i="106"/>
  <c r="XDI120" i="106"/>
  <c r="XDI343" i="106"/>
  <c r="XDI436" i="106"/>
  <c r="XDF4" i="106"/>
  <c r="XDI422" i="106"/>
  <c r="XDI279" i="106"/>
  <c r="XDI88" i="106"/>
  <c r="XDI274" i="106"/>
  <c r="XDI427" i="106"/>
  <c r="XDF20" i="106"/>
  <c r="XDI191" i="106"/>
  <c r="XDI173" i="106"/>
  <c r="XDI463" i="106"/>
  <c r="XDF14" i="106"/>
  <c r="XDI210" i="106"/>
  <c r="XDI346" i="106"/>
  <c r="XDI470" i="106"/>
  <c r="XDI334" i="106"/>
  <c r="XDI389" i="106"/>
  <c r="XDF60" i="106"/>
  <c r="XDI371" i="106"/>
  <c r="XDI93" i="106"/>
  <c r="XDI113" i="106"/>
  <c r="XDI156" i="106"/>
  <c r="XDI219" i="106"/>
  <c r="XDI119" i="106"/>
  <c r="XDI131" i="106"/>
  <c r="XDI129" i="106"/>
  <c r="XDI329" i="106"/>
  <c r="XDI293" i="106"/>
  <c r="XDI314" i="106"/>
  <c r="XDI240" i="106"/>
  <c r="XDF17" i="106"/>
  <c r="XDI198" i="106"/>
  <c r="XDF37" i="106"/>
  <c r="XDI296" i="106"/>
  <c r="XDI224" i="106"/>
  <c r="XDI261" i="106"/>
  <c r="XDI167" i="106"/>
  <c r="XDI373" i="106"/>
  <c r="XDF46" i="106"/>
  <c r="XDI137" i="106"/>
  <c r="XDI428" i="106"/>
  <c r="XDI420" i="106"/>
  <c r="XDI319" i="106"/>
  <c r="XDF7" i="106"/>
  <c r="XDI66" i="106"/>
  <c r="XDI185" i="106"/>
  <c r="XDI220" i="106"/>
  <c r="XDI466" i="106"/>
  <c r="XDI223" i="106"/>
  <c r="XDI305" i="106"/>
  <c r="XDI257" i="106"/>
  <c r="XDI284" i="106"/>
  <c r="XDI457" i="106"/>
  <c r="XDI378" i="106"/>
  <c r="XDI73" i="106"/>
  <c r="XDI335" i="106"/>
  <c r="XDI283" i="106"/>
  <c r="XDI342" i="106"/>
  <c r="XDI136" i="106"/>
  <c r="XDI83" i="106"/>
  <c r="XDI152" i="106"/>
  <c r="XDF29" i="106"/>
  <c r="XDI399" i="106"/>
  <c r="XDI462" i="106"/>
  <c r="XDI272" i="106"/>
  <c r="XDI174" i="106"/>
  <c r="XDF57" i="106"/>
  <c r="XDI230" i="106"/>
  <c r="XDI317" i="106"/>
  <c r="XDI68" i="106"/>
  <c r="XDI75" i="106"/>
  <c r="XDI190" i="106"/>
  <c r="XDI144" i="106"/>
  <c r="XDI236" i="106"/>
  <c r="XDI64" i="106"/>
  <c r="XDI123" i="106"/>
  <c r="XDI415" i="106"/>
  <c r="XDI158" i="106"/>
  <c r="XDI383" i="106"/>
  <c r="XDI69" i="106"/>
  <c r="XDI246" i="106"/>
  <c r="XDI186" i="106"/>
  <c r="XDI341" i="106"/>
  <c r="XDI128" i="106"/>
  <c r="XDI168" i="106"/>
  <c r="XDF23" i="106"/>
  <c r="XDI245" i="106"/>
  <c r="XDI412" i="106"/>
  <c r="XDI297" i="106"/>
  <c r="XDI124" i="106"/>
  <c r="XDI187" i="106"/>
  <c r="XDF8" i="106"/>
  <c r="XDI281" i="106"/>
  <c r="XDI345" i="106"/>
  <c r="XDI364" i="106"/>
  <c r="XDI456" i="106"/>
  <c r="XDF25" i="106"/>
  <c r="XDI349" i="106"/>
  <c r="XDI340" i="106"/>
  <c r="XDI205" i="106"/>
  <c r="XDI391" i="106"/>
  <c r="XDI321" i="106"/>
  <c r="XDI484" i="106"/>
  <c r="XDI434" i="106"/>
  <c r="XDI474" i="106"/>
  <c r="XDI352" i="106"/>
  <c r="XDI213" i="106"/>
  <c r="XDI333" i="106"/>
  <c r="XDI380" i="106"/>
  <c r="XDI430" i="106"/>
  <c r="XDI336" i="106"/>
  <c r="XDI330" i="106"/>
  <c r="XDI150" i="106"/>
  <c r="XDI394" i="106"/>
  <c r="XDI499" i="106"/>
  <c r="XDI355" i="106"/>
  <c r="XDI143" i="106"/>
  <c r="XDI130" i="106"/>
  <c r="XDF24" i="106"/>
  <c r="XDI295" i="106"/>
  <c r="XDI276" i="106"/>
  <c r="XDI439" i="106"/>
  <c r="XDI353" i="106"/>
  <c r="XDI188" i="106"/>
  <c r="XDI285" i="106"/>
  <c r="XDI142" i="106"/>
  <c r="XDI401" i="106"/>
  <c r="XDI438" i="106"/>
  <c r="XDI433" i="106"/>
  <c r="XDF62" i="106"/>
  <c r="XDI406" i="106"/>
  <c r="XDI301" i="106"/>
  <c r="XDI82" i="106"/>
  <c r="XDI201" i="106"/>
  <c r="XDI132" i="106"/>
  <c r="XDI444" i="106"/>
  <c r="XDI74" i="106"/>
  <c r="XDI160" i="106"/>
  <c r="XDI451" i="106"/>
  <c r="XDH63" i="106"/>
  <c r="XDI138" i="106"/>
  <c r="XDI432" i="106"/>
  <c r="XDI303" i="106"/>
  <c r="XDI370" i="106"/>
  <c r="XDI80" i="106"/>
  <c r="XDI146" i="106"/>
  <c r="XDI229" i="106"/>
  <c r="XDI366" i="106"/>
  <c r="XDI214" i="106"/>
  <c r="XDI429" i="106"/>
  <c r="XDF28" i="106"/>
  <c r="XDF16" i="106"/>
  <c r="XDF12" i="106"/>
  <c r="XDI459" i="106"/>
  <c r="XDI175" i="106"/>
  <c r="XDI242" i="106"/>
  <c r="XDI477" i="106"/>
  <c r="XDI494" i="106"/>
  <c r="XDF35" i="106"/>
  <c r="XDI339" i="106"/>
  <c r="XDI492" i="106"/>
  <c r="XDI354" i="106"/>
  <c r="XDI133" i="106"/>
  <c r="XDI496" i="106"/>
  <c r="XDI384" i="106"/>
  <c r="XDF41" i="106"/>
  <c r="XDI374" i="106"/>
  <c r="XDI325" i="106"/>
  <c r="XDF34" i="106"/>
  <c r="XDI259" i="106"/>
  <c r="XDI159" i="106"/>
  <c r="XDI396" i="106"/>
  <c r="XDI447" i="106"/>
  <c r="XDI306" i="106"/>
  <c r="XDI81" i="106"/>
  <c r="XDI222" i="106"/>
  <c r="XDI390" i="106"/>
  <c r="XDI183" i="106"/>
  <c r="XDI153" i="106"/>
  <c r="XDI163" i="106"/>
  <c r="XDI361" i="106"/>
  <c r="XDI98" i="106"/>
  <c r="XDI323" i="106"/>
  <c r="XDI225" i="106"/>
  <c r="XDI85" i="106"/>
  <c r="XDI431" i="106"/>
  <c r="XDI212" i="106"/>
  <c r="XDI403" i="106"/>
  <c r="XDF58" i="106"/>
  <c r="XDI96" i="106"/>
  <c r="XDI440" i="106"/>
  <c r="XDI324" i="106"/>
  <c r="XDI252" i="106"/>
  <c r="XDI449" i="106"/>
  <c r="XDI313" i="106"/>
  <c r="XDF48" i="106"/>
  <c r="XDI289" i="106"/>
  <c r="XDI234" i="106"/>
  <c r="XDI307" i="106"/>
  <c r="XDI233" i="106"/>
  <c r="XDF38" i="106"/>
  <c r="XDF52" i="106"/>
  <c r="XDI318" i="106"/>
  <c r="XDI171" i="106"/>
  <c r="XDI331" i="106"/>
  <c r="XDI327" i="106"/>
  <c r="XDI221" i="106"/>
  <c r="XDI127" i="106"/>
  <c r="XDI404" i="106"/>
  <c r="XDI164" i="106"/>
  <c r="XDI192" i="106"/>
  <c r="XDI376" i="106"/>
  <c r="XDI202" i="106"/>
  <c r="XDI356" i="106"/>
  <c r="XDI111" i="106"/>
  <c r="XDI445" i="106"/>
  <c r="XDI260" i="106"/>
  <c r="XDI416" i="106"/>
  <c r="XDI393" i="106"/>
  <c r="XDI460" i="106"/>
  <c r="XDI154" i="106"/>
  <c r="XDI118" i="106"/>
  <c r="XDI106" i="106"/>
  <c r="XDI100" i="106"/>
  <c r="XDI248" i="106"/>
  <c r="XDI475" i="106"/>
  <c r="XDI232" i="106"/>
  <c r="XDI267" i="106"/>
  <c r="XDI395" i="106"/>
  <c r="XDI178" i="106"/>
  <c r="XDI479" i="106"/>
  <c r="XDF39" i="106"/>
  <c r="XDI298" i="106"/>
  <c r="XDI458" i="106"/>
  <c r="XDI199" i="106"/>
  <c r="XDI480" i="106"/>
  <c r="XDI311" i="106"/>
  <c r="XDI148" i="106"/>
  <c r="XDI469" i="106"/>
  <c r="XDI97" i="106"/>
  <c r="XDI453" i="106"/>
  <c r="XDI377" i="106"/>
  <c r="XDI108" i="106"/>
  <c r="XDI263" i="106"/>
  <c r="XDI315" i="106"/>
  <c r="XDI398" i="106"/>
  <c r="XDI488" i="106"/>
  <c r="XDI387" i="106"/>
  <c r="XDI381" i="106"/>
  <c r="XDI165" i="106"/>
  <c r="XDI77" i="106"/>
  <c r="XDI278" i="106"/>
  <c r="XDI487" i="106"/>
  <c r="XDI243" i="106"/>
  <c r="XDI110" i="106"/>
  <c r="XDI180" i="106"/>
  <c r="XDI238" i="106"/>
  <c r="XDI94" i="106"/>
  <c r="XDI292" i="106"/>
  <c r="XDI109" i="106"/>
  <c r="XDI397" i="106"/>
  <c r="XDI235" i="106"/>
  <c r="XDI184" i="106"/>
  <c r="XDI446" i="106"/>
  <c r="XDI197" i="106"/>
  <c r="XDI196" i="106"/>
  <c r="XDI400" i="106"/>
  <c r="XDI424" i="106"/>
  <c r="XDI102" i="106"/>
  <c r="XDI181" i="106"/>
  <c r="XDI226" i="106"/>
  <c r="XDI348" i="106"/>
  <c r="XDI101" i="106"/>
  <c r="XDI255" i="106"/>
  <c r="XDI410" i="106"/>
  <c r="XDI497" i="106"/>
  <c r="XDI117" i="106"/>
  <c r="XDI495" i="106"/>
  <c r="XDF36" i="106"/>
  <c r="XDI228" i="106"/>
  <c r="XDI310" i="106"/>
  <c r="XDI253" i="106"/>
  <c r="XDI86" i="106"/>
  <c r="XDI79" i="106"/>
  <c r="XDI99" i="106"/>
  <c r="XDI304" i="106"/>
  <c r="XDI216" i="106"/>
  <c r="XDI166" i="106"/>
  <c r="XDF51" i="106"/>
  <c r="XDI465" i="106"/>
  <c r="XDI409" i="106"/>
  <c r="XDI139" i="106"/>
  <c r="XDI347" i="106"/>
  <c r="XDF30" i="106"/>
  <c r="XDF19" i="106"/>
  <c r="XDI204" i="106"/>
  <c r="XDI126" i="106"/>
  <c r="XDI358" i="106"/>
  <c r="XDI70" i="106"/>
  <c r="XDI65" i="106"/>
  <c r="XDI388" i="106"/>
  <c r="XDF18" i="106"/>
  <c r="XDI350" i="106"/>
  <c r="XDI271" i="106"/>
  <c r="XDF15" i="106"/>
  <c r="XDI179" i="106"/>
  <c r="XDI482" i="106"/>
  <c r="XDI302" i="106"/>
  <c r="XDF56" i="106"/>
  <c r="XDF42" i="106"/>
  <c r="XDI282" i="106"/>
  <c r="XDI408" i="106"/>
  <c r="XDI112" i="106"/>
  <c r="XDI485" i="106"/>
  <c r="XDI169" i="106"/>
  <c r="XDI103" i="106"/>
  <c r="XDI67" i="106"/>
  <c r="XDI367" i="106"/>
  <c r="XDI193" i="106"/>
  <c r="XDF45" i="106"/>
  <c r="XDI486" i="106"/>
  <c r="XDI218" i="106"/>
  <c r="XDF22" i="106"/>
  <c r="XDI464" i="106"/>
  <c r="XDI208" i="106"/>
  <c r="XDI417" i="106"/>
  <c r="XDF33" i="106"/>
  <c r="XDF53" i="106"/>
  <c r="XDF49" i="106"/>
  <c r="XDI211" i="106"/>
  <c r="XDI194" i="106"/>
  <c r="XDI473" i="106"/>
  <c r="XDI320" i="106"/>
  <c r="XDI299" i="106"/>
  <c r="XDI287" i="106"/>
  <c r="XDI490" i="106"/>
  <c r="XDI478" i="106"/>
  <c r="XDI147" i="106"/>
  <c r="XDI290" i="106"/>
  <c r="XDI273" i="106"/>
  <c r="XDI414" i="106"/>
  <c r="XDI206" i="106"/>
  <c r="XDI227" i="106"/>
  <c r="XDI172" i="106"/>
  <c r="XDI203" i="106"/>
  <c r="XDI425" i="106"/>
  <c r="XDI140" i="106"/>
  <c r="XDI452" i="106"/>
  <c r="XDI437" i="106"/>
  <c r="XDF47" i="106"/>
  <c r="XDI435" i="106"/>
  <c r="XDI332" i="106"/>
  <c r="XDI450" i="106"/>
  <c r="XDI250" i="106"/>
  <c r="XDI151" i="106"/>
  <c r="XDI134" i="106"/>
  <c r="XDI104" i="106"/>
  <c r="XDI269" i="106"/>
  <c r="XDI264" i="106"/>
  <c r="XDI254" i="106"/>
  <c r="XDI89" i="106"/>
  <c r="XDI419" i="106"/>
  <c r="XDI155" i="106"/>
  <c r="XDI461" i="106"/>
  <c r="XDI209" i="106"/>
  <c r="XDI338" i="106"/>
  <c r="XDI268" i="106"/>
  <c r="XDI413" i="106"/>
  <c r="XDI382" i="106"/>
  <c r="XDF61" i="106"/>
  <c r="XDI176" i="106"/>
  <c r="XDI249" i="106"/>
  <c r="XDI421" i="106"/>
  <c r="XDI491" i="106"/>
  <c r="XDI266" i="106"/>
  <c r="XDF11" i="106"/>
  <c r="XDI291" i="106"/>
  <c r="XDF13" i="106"/>
  <c r="XDF31" i="106"/>
  <c r="XDI286" i="106"/>
  <c r="XDI476" i="106"/>
  <c r="XDI471" i="106"/>
  <c r="XDI407" i="106"/>
  <c r="XDI405" i="106"/>
  <c r="XDI87" i="106"/>
  <c r="XDI116" i="106"/>
  <c r="XDI177" i="106"/>
  <c r="XDI328" i="106"/>
  <c r="XDI237" i="106"/>
  <c r="XDI362" i="106"/>
  <c r="XDI114" i="106"/>
  <c r="XDF6" i="106"/>
  <c r="XDI241" i="106"/>
  <c r="XDI280" i="106"/>
  <c r="XDI294" i="106"/>
  <c r="XDI357" i="106"/>
  <c r="XDI369" i="106"/>
  <c r="XDI483" i="106"/>
  <c r="XDI344" i="106"/>
  <c r="XDI489" i="106"/>
  <c r="XDI379" i="106"/>
  <c r="XDI91" i="106"/>
  <c r="XDI76" i="106"/>
  <c r="XDI351" i="106"/>
  <c r="XDI441" i="106"/>
  <c r="XDI170" i="106"/>
  <c r="XDI472" i="106"/>
  <c r="XDI189" i="106"/>
  <c r="XDI122" i="106"/>
  <c r="XDI455" i="106"/>
  <c r="XDI423" i="106"/>
  <c r="XDI448" i="106"/>
  <c r="XDI481" i="106"/>
  <c r="XDI141" i="106"/>
  <c r="XDI288" i="106"/>
  <c r="XDI125" i="106"/>
  <c r="XDI385" i="106"/>
  <c r="XDF5" i="106"/>
  <c r="XDI322" i="106"/>
  <c r="XDI270" i="106"/>
  <c r="XDF3" i="106"/>
  <c r="XDI195" i="106"/>
  <c r="XDI182" i="106"/>
  <c r="XDI442" i="106"/>
  <c r="XDI115" i="106"/>
  <c r="XDI265" i="106"/>
  <c r="XDI72" i="106"/>
  <c r="XDI386" i="106"/>
  <c r="XDF59" i="106"/>
  <c r="XDI135" i="106"/>
  <c r="XDF9" i="106"/>
  <c r="XDI372" i="106"/>
  <c r="XDI426" i="106"/>
  <c r="XDI244" i="106"/>
  <c r="XDI418" i="106"/>
  <c r="XDI200" i="106"/>
  <c r="XDI359" i="106"/>
  <c r="XDI105" i="106"/>
  <c r="XDI392" i="106"/>
  <c r="XDI207" i="106"/>
  <c r="XDI251" i="106"/>
  <c r="XDI337" i="106"/>
  <c r="XDI262" i="106"/>
  <c r="XDI365" i="106"/>
  <c r="XDI468" i="106"/>
  <c r="XDF50" i="106"/>
  <c r="XDI312" i="106"/>
  <c r="XDI107" i="106"/>
  <c r="XDI454" i="106"/>
  <c r="XDI277" i="106"/>
  <c r="XDI215" i="106"/>
  <c r="XDI217" i="106"/>
  <c r="XDI239" i="106"/>
  <c r="XDI157" i="106"/>
  <c r="XDI71" i="106"/>
  <c r="XDI95" i="106"/>
  <c r="XDI309" i="106"/>
  <c r="XDI78" i="106"/>
  <c r="XDI326" i="106"/>
  <c r="XDI500" i="106"/>
  <c r="XDI92" i="106"/>
  <c r="XDI300" i="106"/>
  <c r="XDI363" i="106"/>
  <c r="XDI467" i="106"/>
  <c r="XDI368" i="106"/>
  <c r="XDI256" i="106"/>
  <c r="XDI360" i="106"/>
  <c r="XDF54" i="106"/>
  <c r="XDI316" i="106"/>
  <c r="XDF44" i="106"/>
  <c r="XDF27" i="106"/>
  <c r="XDF26" i="106"/>
  <c r="XDI145" i="106"/>
  <c r="XDI411" i="106"/>
  <c r="XDI308" i="106"/>
  <c r="XDI498" i="106"/>
</calcChain>
</file>

<file path=xl/connections.xml><?xml version="1.0" encoding="utf-8"?>
<connections xmlns="http://schemas.openxmlformats.org/spreadsheetml/2006/main">
  <connection id="1" sourceFile="https://communities.kostal.com/community/COM100702/internal/Shared%20Documents/09_Billing%20hour%20for%20projects/00_Vzor/Projects.xlsx" name="Projects1" type="5" reconnectionMethod="2" refreshedVersion="5" minRefreshableVersion="3" saveData="1">
    <dbPr connection="Provider=Microsoft.ACE.OLEDB.12.0;User ID=Admin;Data Source=C:\Users\pater001\SharePoint\AQA - Advanced Quality Planni - Doc\09_Billing hour for projects\00_Vzor\Project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roject_list$" commandType="3"/>
  </connection>
</connections>
</file>

<file path=xl/sharedStrings.xml><?xml version="1.0" encoding="utf-8"?>
<sst xmlns="http://schemas.openxmlformats.org/spreadsheetml/2006/main" count="504" uniqueCount="253">
  <si>
    <t>GW1</t>
  </si>
  <si>
    <t>GW2 - Concept Release</t>
  </si>
  <si>
    <t>GW3 - Project Start</t>
  </si>
  <si>
    <t>MS4 - Requirement Specification Release</t>
  </si>
  <si>
    <t>GW5 - Performance  Specification Release</t>
  </si>
  <si>
    <t>MS6 -  Design-Verification</t>
  </si>
  <si>
    <t>MS7 - Manufacturing Feasibility Release</t>
  </si>
  <si>
    <t>GW8 - Design/ Production Set-Up Release</t>
  </si>
  <si>
    <t>GW8,5 - First Production Samples</t>
  </si>
  <si>
    <t>MS9 - Trial-Run (internal)</t>
  </si>
  <si>
    <t>GW10 - Serial Production</t>
  </si>
  <si>
    <t>GW11 - PPAP/ ISR</t>
  </si>
  <si>
    <t>MS12 - Start of Production (SOP)</t>
  </si>
  <si>
    <t>MS13 - Project Wrap-Up</t>
  </si>
  <si>
    <t>Prokostal</t>
  </si>
  <si>
    <t>PPE/PPC</t>
  </si>
  <si>
    <t>Nr</t>
  </si>
  <si>
    <t>WBS Elemets</t>
  </si>
  <si>
    <t>Project - Customer</t>
  </si>
  <si>
    <t>Project name</t>
  </si>
  <si>
    <t>Production plant</t>
  </si>
  <si>
    <t>VW Group</t>
  </si>
  <si>
    <t>P06689</t>
  </si>
  <si>
    <t>KOBU</t>
  </si>
  <si>
    <t>P06311</t>
  </si>
  <si>
    <t>KOCR</t>
  </si>
  <si>
    <t>P07101</t>
  </si>
  <si>
    <t>P04413</t>
  </si>
  <si>
    <t>Nissan Renault</t>
  </si>
  <si>
    <t>P05869</t>
  </si>
  <si>
    <t>P04996</t>
  </si>
  <si>
    <t>FCA</t>
  </si>
  <si>
    <t>P07917</t>
  </si>
  <si>
    <t>PSA</t>
  </si>
  <si>
    <t>P06206</t>
  </si>
  <si>
    <t>P07521</t>
  </si>
  <si>
    <t>BMW</t>
  </si>
  <si>
    <t>P07436</t>
  </si>
  <si>
    <t>P06543</t>
  </si>
  <si>
    <t>P07647</t>
  </si>
  <si>
    <t>P05287</t>
  </si>
  <si>
    <t>P07607</t>
  </si>
  <si>
    <t>P04914</t>
  </si>
  <si>
    <t>P04837</t>
  </si>
  <si>
    <t>P04544</t>
  </si>
  <si>
    <t>P04285</t>
  </si>
  <si>
    <t>P03462</t>
  </si>
  <si>
    <t>G00368</t>
  </si>
  <si>
    <t>P06457</t>
  </si>
  <si>
    <t>P07591</t>
  </si>
  <si>
    <t>Hronovsky/ KOCR</t>
  </si>
  <si>
    <t>Daimler</t>
  </si>
  <si>
    <t>P06086</t>
  </si>
  <si>
    <t>P04630</t>
  </si>
  <si>
    <t>P08091</t>
  </si>
  <si>
    <t>Ford</t>
  </si>
  <si>
    <t>P03250</t>
  </si>
  <si>
    <t>P03958</t>
  </si>
  <si>
    <t>P04054</t>
  </si>
  <si>
    <t>P04321</t>
  </si>
  <si>
    <t>P04330</t>
  </si>
  <si>
    <t>P04520</t>
  </si>
  <si>
    <t>P04723</t>
  </si>
  <si>
    <t>P05486</t>
  </si>
  <si>
    <t>BX726 - SCCM</t>
  </si>
  <si>
    <t>P06054</t>
  </si>
  <si>
    <t>P06628</t>
  </si>
  <si>
    <t>P07222</t>
  </si>
  <si>
    <t>P07396</t>
  </si>
  <si>
    <t>SCM COM2016 Opel - Redesign</t>
  </si>
  <si>
    <t>SCCM VS11 - KOCR</t>
  </si>
  <si>
    <t>VW</t>
  </si>
  <si>
    <t>P07973</t>
  </si>
  <si>
    <t>iSMLS Gen2</t>
  </si>
  <si>
    <t>P05023</t>
  </si>
  <si>
    <t>?</t>
  </si>
  <si>
    <t>P05492</t>
  </si>
  <si>
    <t>P03650</t>
  </si>
  <si>
    <t>P05490</t>
  </si>
  <si>
    <t>P06327</t>
  </si>
  <si>
    <t>P04978</t>
  </si>
  <si>
    <t>P05441</t>
  </si>
  <si>
    <t>P05655</t>
  </si>
  <si>
    <t>P05ó66</t>
  </si>
  <si>
    <t>P05880</t>
  </si>
  <si>
    <t>P06015</t>
  </si>
  <si>
    <t>P06299</t>
  </si>
  <si>
    <t>P06798</t>
  </si>
  <si>
    <t>P07287</t>
  </si>
  <si>
    <t>P05667</t>
  </si>
  <si>
    <t>Project Nr#</t>
  </si>
  <si>
    <t>SMLS MQB Redesign</t>
  </si>
  <si>
    <t>SMLS MLBevo 2.Tranche</t>
  </si>
  <si>
    <t>SMLS BY63x</t>
  </si>
  <si>
    <t>Ambiance Ilirnination BR222/VS20</t>
  </si>
  <si>
    <t>Steering Column Control Module D</t>
  </si>
  <si>
    <t>steering column module Audi MLBevo</t>
  </si>
  <si>
    <t>SCS FIAT "SMART"</t>
  </si>
  <si>
    <t>SCM Renault'Nissan CMFB</t>
  </si>
  <si>
    <t>Steering Column Module</t>
  </si>
  <si>
    <t>SCM RenaultX61</t>
  </si>
  <si>
    <t>500 BEV SCCM FCA</t>
  </si>
  <si>
    <t>SCM Opel / COM2016</t>
  </si>
  <si>
    <t>SZL 35up 2.Tranche</t>
  </si>
  <si>
    <t>SZL 17 rastend</t>
  </si>
  <si>
    <t>iSMLS MEB</t>
  </si>
  <si>
    <t>Steering colum module Cajun/Spyder 918</t>
  </si>
  <si>
    <t>KLSM 992/983,'J1/E3</t>
  </si>
  <si>
    <t>Ford SCM ”Cross cariine"</t>
  </si>
  <si>
    <t>Ford C520 China</t>
  </si>
  <si>
    <t>LS A-Entry PQ26</t>
  </si>
  <si>
    <t>Ford Steering Column Module B562</t>
  </si>
  <si>
    <t>Ford Steering Column Module C490</t>
  </si>
  <si>
    <t>Ford SCM C344/6MCA-FoE</t>
  </si>
  <si>
    <t>Ford WM FOE</t>
  </si>
  <si>
    <t>SMLS MQB Audi</t>
  </si>
  <si>
    <t>Ford SCM B299MCA with HSVV B299MCA and B515 Russia</t>
  </si>
  <si>
    <t>LS PQ25</t>
  </si>
  <si>
    <t>Ford SCM C520MCA</t>
  </si>
  <si>
    <t>SMLS MQB</t>
  </si>
  <si>
    <t>Ford CD' Steering Column Module</t>
  </si>
  <si>
    <t>SCM COM 2008 Premium</t>
  </si>
  <si>
    <t>All PSA COM2008, Premium &amp; Evo</t>
  </si>
  <si>
    <t>LSS MQB-AO</t>
  </si>
  <si>
    <t>PSA SCM BVH2'</t>
  </si>
  <si>
    <t>LSV-Schalter 35up 2. Tranche</t>
  </si>
  <si>
    <t>Fiat 312 Europe SCS</t>
  </si>
  <si>
    <t>Maserati SCM</t>
  </si>
  <si>
    <t>SCSM FORD B299</t>
  </si>
  <si>
    <t>Steering Column Module B299N</t>
  </si>
  <si>
    <t>Steering Column Module V36X / C346N</t>
  </si>
  <si>
    <t>Localisation / Capacity Increase 8299 SCM</t>
  </si>
  <si>
    <t>Steering Column Module B232/B299 MCA</t>
  </si>
  <si>
    <t>Ford B299N SRC</t>
  </si>
  <si>
    <t>Steering Column Module B515</t>
  </si>
  <si>
    <t>Ford SCM V36x ICA</t>
  </si>
  <si>
    <t>Ford SCM B515 MCA</t>
  </si>
  <si>
    <t>Ford V408 MCA Steering Column Module</t>
  </si>
  <si>
    <t>Ford SCM V362 MCA</t>
  </si>
  <si>
    <t>GW3</t>
  </si>
  <si>
    <t>GW2</t>
  </si>
  <si>
    <t>MS4</t>
  </si>
  <si>
    <t>GW5</t>
  </si>
  <si>
    <t>MS6</t>
  </si>
  <si>
    <t>MS7</t>
  </si>
  <si>
    <t>GW8,5</t>
  </si>
  <si>
    <t>MS9</t>
  </si>
  <si>
    <t>GW10</t>
  </si>
  <si>
    <t>GW11</t>
  </si>
  <si>
    <t>MS12</t>
  </si>
  <si>
    <t>MS13</t>
  </si>
  <si>
    <t>GW8</t>
  </si>
  <si>
    <t>Actual GW</t>
  </si>
  <si>
    <t>Prioriy</t>
  </si>
  <si>
    <t>Description</t>
  </si>
  <si>
    <t>Hours</t>
  </si>
  <si>
    <t>02.020</t>
  </si>
  <si>
    <t>Costcenter</t>
  </si>
  <si>
    <t>KOBU-PZ</t>
  </si>
  <si>
    <t>PAxx</t>
  </si>
  <si>
    <t>freq</t>
  </si>
  <si>
    <t>sea</t>
  </si>
  <si>
    <t>SCm</t>
  </si>
  <si>
    <t>BE</t>
  </si>
  <si>
    <t>SCM</t>
  </si>
  <si>
    <t>KONEC</t>
  </si>
  <si>
    <t>PACP</t>
  </si>
  <si>
    <t>PABP</t>
  </si>
  <si>
    <t>P07781</t>
  </si>
  <si>
    <t>1.0</t>
  </si>
  <si>
    <t>Prvná vydání</t>
  </si>
  <si>
    <t>1.1</t>
  </si>
  <si>
    <t>Oprava chybného vyhodnocení data z METIS ("Projekty") oprava vzorce</t>
  </si>
  <si>
    <t>1.2</t>
  </si>
  <si>
    <t>Oprava nadpisu (status)</t>
  </si>
  <si>
    <t>03.020</t>
  </si>
  <si>
    <t>Lamborghini</t>
  </si>
  <si>
    <t>VW536 FAS</t>
  </si>
  <si>
    <t>1.3</t>
  </si>
  <si>
    <t>Přidán součet hodin ve dni</t>
  </si>
  <si>
    <t>N/A</t>
  </si>
  <si>
    <t>No data in METIS</t>
  </si>
  <si>
    <t>1.4</t>
  </si>
  <si>
    <t>1.5</t>
  </si>
  <si>
    <t>Bug fix datum v tabulce při vytváření</t>
  </si>
  <si>
    <t>1.5.1</t>
  </si>
  <si>
    <t>Bug fix podmíněné formátování kalendáře v jiném jazyce</t>
  </si>
  <si>
    <t>1.5.2</t>
  </si>
  <si>
    <t>Bug fix změny tlačítka</t>
  </si>
  <si>
    <t>SCM COM2023</t>
  </si>
  <si>
    <t>P08097</t>
  </si>
  <si>
    <t>Product</t>
  </si>
  <si>
    <t>Ford B479</t>
  </si>
  <si>
    <t xml:space="preserve">Steering Column Module </t>
  </si>
  <si>
    <t>Steering Column Control Module MFA2/BR167/VS30</t>
  </si>
  <si>
    <t>SMLS 9x1; G2</t>
  </si>
  <si>
    <t>P06166</t>
  </si>
  <si>
    <t>Porsche</t>
  </si>
  <si>
    <t>Steering Column Module Fiat 329 / Alfa 952</t>
  </si>
  <si>
    <t>LB636 Urus</t>
  </si>
  <si>
    <t xml:space="preserve">SCM </t>
  </si>
  <si>
    <t>1.5.3</t>
  </si>
  <si>
    <t>Bug fix chyba s Validation_list_platforms (čistý list bez vyhledávání)</t>
  </si>
  <si>
    <t>Product2</t>
  </si>
  <si>
    <t>LB74x  Aventador</t>
  </si>
  <si>
    <t>Unproductive hours</t>
  </si>
  <si>
    <t>1.5.4</t>
  </si>
  <si>
    <t>Changed name of month</t>
  </si>
  <si>
    <t>Instruction:</t>
  </si>
  <si>
    <t>ctrl + d</t>
  </si>
  <si>
    <t>Shurtcut</t>
  </si>
  <si>
    <t>ctrl + shift + d</t>
  </si>
  <si>
    <t>Increase number of hours by one (IN CALENDARY AREA ONLY)</t>
  </si>
  <si>
    <t>Decrease number of hours by one (IN CALENDARY AREA ONLY)</t>
  </si>
  <si>
    <t>Increase the cell value by hour</t>
  </si>
  <si>
    <t>GetLanguageID fixed (první založení se SUM/SUMA)</t>
  </si>
  <si>
    <t>Přidána vizualizace KOCR/KOBU v listu výběru</t>
  </si>
  <si>
    <t>1.5.5</t>
  </si>
  <si>
    <t>Version</t>
  </si>
  <si>
    <t>Podmíněné formátování aktuální pozice</t>
  </si>
  <si>
    <t>Podmíněné formátování součtu hodiny</t>
  </si>
  <si>
    <t>SCCM - V710</t>
  </si>
  <si>
    <t>P08137</t>
  </si>
  <si>
    <t>CX482MCA + V769</t>
  </si>
  <si>
    <t>MBAG MMA</t>
  </si>
  <si>
    <t>P08274</t>
  </si>
  <si>
    <t>COM2020</t>
  </si>
  <si>
    <t>P08346</t>
  </si>
  <si>
    <t>iSMLS Gen2 - MQB</t>
  </si>
  <si>
    <t>P08389</t>
  </si>
  <si>
    <t>iSMLS Gen2 - MLB</t>
  </si>
  <si>
    <t>P08485</t>
  </si>
  <si>
    <t>We</t>
  </si>
  <si>
    <t>Th</t>
  </si>
  <si>
    <t>Fr</t>
  </si>
  <si>
    <t>Sa</t>
  </si>
  <si>
    <t>Su</t>
  </si>
  <si>
    <t>Mo</t>
  </si>
  <si>
    <t>Tu</t>
  </si>
  <si>
    <t>září 21</t>
  </si>
  <si>
    <t>Nr.</t>
  </si>
  <si>
    <t>Platform</t>
  </si>
  <si>
    <t>Project Nr.</t>
  </si>
  <si>
    <t>Customer</t>
  </si>
  <si>
    <t>WBS_x000D_
Element</t>
  </si>
  <si>
    <t>ProKostal status</t>
  </si>
  <si>
    <t>Activity</t>
  </si>
  <si>
    <t>Develop. No</t>
  </si>
  <si>
    <t>PAxx (Costcenter)</t>
  </si>
  <si>
    <t>Employee</t>
  </si>
  <si>
    <t>REPORT</t>
  </si>
  <si>
    <t>Example</t>
  </si>
  <si>
    <t>Something 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</si>
</sst>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1" x14ac:knownFonts="1">
    <font>
      <sz val="11"/>
      <color theme="1"/>
      <name val="Calibri"/>
      <family val="2"/>
      <scheme val="minor"/>
    </font>
    <font>
      <u/>
      <sz val="10"/>
      <color theme="10"/>
      <name val="Arial CE"/>
      <charset val="238"/>
    </font>
    <font>
      <sz val="11"/>
      <name val="Arial CE"/>
      <charset val="238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Arial CE"/>
    </font>
    <font>
      <b/>
      <u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EBFF"/>
        <bgColor indexed="64"/>
      </patternFill>
    </fill>
    <fill>
      <patternFill patternType="solid">
        <fgColor rgb="FF4F81BD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4F81BD"/>
      </bottom>
      <diagonal/>
    </border>
    <border>
      <left style="medium">
        <color rgb="FF4F81BD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thin">
        <color indexed="64"/>
      </right>
      <top style="thin">
        <color indexed="64"/>
      </top>
      <bottom style="medium">
        <color rgb="FF4F81BD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 style="medium">
        <color rgb="FF4F81BD"/>
      </bottom>
      <diagonal/>
    </border>
    <border>
      <left/>
      <right/>
      <top style="medium">
        <color rgb="FF4F81BD"/>
      </top>
      <bottom style="thin">
        <color indexed="64"/>
      </bottom>
      <diagonal/>
    </border>
    <border>
      <left/>
      <right style="medium">
        <color rgb="FF4F81BD"/>
      </right>
      <top style="medium">
        <color rgb="FF4F81BD"/>
      </top>
      <bottom style="thin">
        <color indexed="64"/>
      </bottom>
      <diagonal/>
    </border>
    <border>
      <left style="medium">
        <color rgb="FF4F81BD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4F81B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rgb="FF4F81BD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rgb="FF4F81BD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thin">
        <color rgb="FF4F81BD"/>
      </top>
      <bottom style="thin">
        <color rgb="FF4F81BD"/>
      </bottom>
      <diagonal/>
    </border>
    <border>
      <left style="medium">
        <color rgb="FF4F81BD"/>
      </left>
      <right style="thin">
        <color indexed="64"/>
      </right>
      <top/>
      <bottom/>
      <diagonal/>
    </border>
    <border>
      <left style="medium">
        <color rgb="FF4F81BD"/>
      </left>
      <right style="thin">
        <color indexed="64"/>
      </right>
      <top style="medium">
        <color rgb="FF4F81BD"/>
      </top>
      <bottom/>
      <diagonal/>
    </border>
    <border>
      <left style="medium">
        <color rgb="FF4F81BD"/>
      </left>
      <right style="thin">
        <color indexed="64"/>
      </right>
      <top/>
      <bottom style="medium">
        <color rgb="FF4F81BD"/>
      </bottom>
      <diagonal/>
    </border>
    <border>
      <left style="thin">
        <color indexed="64"/>
      </left>
      <right style="thin">
        <color indexed="64"/>
      </right>
      <top style="medium">
        <color rgb="FF4F81BD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4F81BD"/>
      </bottom>
      <diagonal/>
    </border>
    <border>
      <left style="thin">
        <color indexed="64"/>
      </left>
      <right style="medium">
        <color rgb="FF4F81BD"/>
      </right>
      <top style="medium">
        <color rgb="FF4F81BD"/>
      </top>
      <bottom/>
      <diagonal/>
    </border>
    <border>
      <left style="thin">
        <color indexed="64"/>
      </left>
      <right style="medium">
        <color rgb="FF4F81BD"/>
      </right>
      <top/>
      <bottom/>
      <diagonal/>
    </border>
    <border>
      <left style="thin">
        <color indexed="64"/>
      </left>
      <right style="medium">
        <color rgb="FF4F81BD"/>
      </right>
      <top/>
      <bottom style="medium">
        <color rgb="FF4F81BD"/>
      </bottom>
      <diagonal/>
    </border>
    <border>
      <left style="medium">
        <color rgb="FF4F81BD"/>
      </left>
      <right style="medium">
        <color rgb="FF4F81BD"/>
      </right>
      <top style="thin">
        <color rgb="FF4F81BD"/>
      </top>
      <bottom/>
      <diagonal/>
    </border>
    <border>
      <left style="medium">
        <color rgb="FF4F81BD"/>
      </left>
      <right style="medium">
        <color rgb="FF4F81BD"/>
      </right>
      <top/>
      <bottom/>
      <diagonal/>
    </border>
    <border>
      <left style="medium">
        <color rgb="FF4F81BD"/>
      </left>
      <right style="medium">
        <color rgb="FF4F81BD"/>
      </right>
      <top/>
      <bottom style="thin">
        <color rgb="FF4F81BD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2" fillId="2" borderId="0" xfId="1" applyFont="1" applyFill="1" applyBorder="1" applyAlignment="1">
      <alignment vertical="center"/>
    </xf>
    <xf numFmtId="14" fontId="0" fillId="0" borderId="0" xfId="0" applyNumberFormat="1"/>
    <xf numFmtId="0" fontId="3" fillId="2" borderId="0" xfId="0" applyFont="1" applyFill="1"/>
    <xf numFmtId="0" fontId="4" fillId="3" borderId="0" xfId="0" applyFont="1" applyFill="1"/>
    <xf numFmtId="0" fontId="0" fillId="4" borderId="0" xfId="0" applyFill="1"/>
    <xf numFmtId="0" fontId="2" fillId="2" borderId="0" xfId="1" applyFont="1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5" fillId="2" borderId="0" xfId="1" applyFont="1" applyFill="1" applyBorder="1" applyAlignment="1">
      <alignment vertical="center"/>
    </xf>
    <xf numFmtId="0" fontId="6" fillId="0" borderId="0" xfId="0" applyFont="1"/>
    <xf numFmtId="49" fontId="7" fillId="0" borderId="0" xfId="0" applyNumberFormat="1" applyFont="1"/>
    <xf numFmtId="49" fontId="7" fillId="0" borderId="0" xfId="0" applyNumberFormat="1" applyFont="1" applyAlignment="1">
      <alignment horizontal="left"/>
    </xf>
    <xf numFmtId="0" fontId="8" fillId="0" borderId="1" xfId="0" applyFont="1" applyBorder="1"/>
    <xf numFmtId="0" fontId="8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1" fontId="8" fillId="0" borderId="6" xfId="0" applyNumberFormat="1" applyFont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0" borderId="10" xfId="0" applyFont="1" applyBorder="1"/>
    <xf numFmtId="0" fontId="8" fillId="5" borderId="10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1" fontId="8" fillId="0" borderId="10" xfId="0" applyNumberFormat="1" applyFont="1" applyBorder="1" applyAlignment="1">
      <alignment horizontal="center" vertical="center"/>
    </xf>
    <xf numFmtId="1" fontId="8" fillId="0" borderId="11" xfId="0" applyNumberFormat="1" applyFont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164" fontId="8" fillId="0" borderId="17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1" fontId="8" fillId="0" borderId="18" xfId="0" applyNumberFormat="1" applyFont="1" applyBorder="1" applyAlignment="1">
      <alignment horizontal="center" vertical="center"/>
    </xf>
    <xf numFmtId="1" fontId="8" fillId="0" borderId="19" xfId="0" applyNumberFormat="1" applyFont="1" applyBorder="1" applyAlignment="1">
      <alignment horizontal="center" vertical="center"/>
    </xf>
    <xf numFmtId="1" fontId="8" fillId="0" borderId="17" xfId="0" applyNumberFormat="1" applyFont="1" applyBorder="1" applyAlignment="1">
      <alignment horizontal="center" vertical="center"/>
    </xf>
    <xf numFmtId="0" fontId="8" fillId="0" borderId="20" xfId="0" applyFont="1" applyFill="1" applyBorder="1"/>
    <xf numFmtId="0" fontId="9" fillId="5" borderId="22" xfId="0" applyFont="1" applyFill="1" applyBorder="1" applyAlignment="1">
      <alignment horizontal="center" vertical="center" wrapText="1"/>
    </xf>
    <xf numFmtId="0" fontId="9" fillId="5" borderId="21" xfId="0" applyFont="1" applyFill="1" applyBorder="1" applyAlignment="1">
      <alignment horizontal="center" vertical="center" wrapText="1"/>
    </xf>
    <xf numFmtId="0" fontId="9" fillId="5" borderId="23" xfId="0" applyFont="1" applyFill="1" applyBorder="1" applyAlignment="1">
      <alignment horizontal="center" vertical="center" wrapText="1"/>
    </xf>
    <xf numFmtId="0" fontId="9" fillId="5" borderId="24" xfId="0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center" vertical="center" wrapText="1"/>
    </xf>
    <xf numFmtId="0" fontId="9" fillId="5" borderId="25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center" vertical="center" wrapText="1"/>
    </xf>
    <xf numFmtId="0" fontId="9" fillId="5" borderId="28" xfId="0" applyFont="1" applyFill="1" applyBorder="1" applyAlignment="1">
      <alignment horizontal="center" vertical="center" wrapText="1"/>
    </xf>
    <xf numFmtId="0" fontId="9" fillId="5" borderId="29" xfId="0" applyFont="1" applyFill="1" applyBorder="1" applyAlignment="1">
      <alignment horizontal="center" vertical="center" wrapText="1"/>
    </xf>
    <xf numFmtId="0" fontId="9" fillId="5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>
      <alignment horizontal="center" vertical="center" wrapText="1"/>
    </xf>
    <xf numFmtId="0" fontId="0" fillId="6" borderId="13" xfId="0" applyFill="1" applyBorder="1"/>
    <xf numFmtId="0" fontId="0" fillId="6" borderId="0" xfId="0" applyFill="1"/>
  </cellXfs>
  <cellStyles count="2">
    <cellStyle name="Hypertextový odkaz 2" xfId="1"/>
    <cellStyle name="Normal" xfId="0" builtinId="0"/>
  </cellStyles>
  <dxfs count="116">
    <dxf>
      <fill>
        <patternFill>
          <bgColor rgb="FF92D050"/>
        </patternFill>
      </fill>
    </dxf>
    <dxf>
      <fill>
        <patternFill>
          <bgColor rgb="FFFAE1C8"/>
        </patternFill>
      </fill>
    </dxf>
    <dxf>
      <fill>
        <patternFill>
          <bgColor rgb="FFFAE1C8"/>
        </patternFill>
      </fill>
    </dxf>
    <dxf>
      <fill>
        <patternFill>
          <bgColor rgb="FFDFDFDF"/>
        </patternFill>
      </fill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font>
        <color rgb="FFD7EBFF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E"/>
        <scheme val="none"/>
      </font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E"/>
        <scheme val="none"/>
      </font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E"/>
        <scheme val="none"/>
      </font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E"/>
        <scheme val="none"/>
      </font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17</xdr:row>
      <xdr:rowOff>19051</xdr:rowOff>
    </xdr:from>
    <xdr:to>
      <xdr:col>1</xdr:col>
      <xdr:colOff>2924174</xdr:colOff>
      <xdr:row>17</xdr:row>
      <xdr:rowOff>152401</xdr:rowOff>
    </xdr:to>
    <xdr:sp macro="" textlink="">
      <xdr:nvSpPr>
        <xdr:cNvPr id="2" name="TextBox 1"/>
        <xdr:cNvSpPr txBox="1"/>
      </xdr:nvSpPr>
      <xdr:spPr>
        <a:xfrm>
          <a:off x="19050" y="3257551"/>
          <a:ext cx="3638549" cy="133350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bIns="0" rtlCol="0" anchor="ctr"/>
        <a:lstStyle/>
        <a:p>
          <a:pPr algn="ctr"/>
          <a:r>
            <a:rPr lang="cs-CZ" sz="1200" b="1" i="1">
              <a:solidFill>
                <a:srgbClr val="FF0000"/>
              </a:solidFill>
            </a:rPr>
            <a:t>Insert new line above, if necessary</a:t>
          </a:r>
        </a:p>
      </xdr:txBody>
    </xdr:sp>
    <xdr:clientData/>
  </xdr:twoCellAnchor>
  <xdr:twoCellAnchor>
    <xdr:from>
      <xdr:col>0</xdr:col>
      <xdr:colOff>1</xdr:colOff>
      <xdr:row>22</xdr:row>
      <xdr:rowOff>38099</xdr:rowOff>
    </xdr:from>
    <xdr:to>
      <xdr:col>1</xdr:col>
      <xdr:colOff>2886075</xdr:colOff>
      <xdr:row>22</xdr:row>
      <xdr:rowOff>171450</xdr:rowOff>
    </xdr:to>
    <xdr:sp macro="" textlink="">
      <xdr:nvSpPr>
        <xdr:cNvPr id="4" name="TextBox 3"/>
        <xdr:cNvSpPr txBox="1"/>
      </xdr:nvSpPr>
      <xdr:spPr>
        <a:xfrm>
          <a:off x="1" y="4419599"/>
          <a:ext cx="3619499" cy="133351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bIns="0" rtlCol="0" anchor="ctr"/>
        <a:lstStyle/>
        <a:p>
          <a:pPr algn="ctr"/>
          <a:r>
            <a:rPr lang="cs-CZ" sz="1200" b="1" i="1">
              <a:solidFill>
                <a:srgbClr val="FF0000"/>
              </a:solidFill>
            </a:rPr>
            <a:t>Insert new line above, if necessary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161925</xdr:rowOff>
        </xdr:from>
        <xdr:to>
          <xdr:col>3</xdr:col>
          <xdr:colOff>933450</xdr:colOff>
          <xdr:row>7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27</xdr:row>
      <xdr:rowOff>38099</xdr:rowOff>
    </xdr:from>
    <xdr:to>
      <xdr:col>1</xdr:col>
      <xdr:colOff>2886075</xdr:colOff>
      <xdr:row>27</xdr:row>
      <xdr:rowOff>171450</xdr:rowOff>
    </xdr:to>
    <xdr:sp macro="" textlink="">
      <xdr:nvSpPr>
        <xdr:cNvPr id="6" name="TextBox 5"/>
        <xdr:cNvSpPr txBox="1"/>
      </xdr:nvSpPr>
      <xdr:spPr>
        <a:xfrm>
          <a:off x="1" y="4419599"/>
          <a:ext cx="3619499" cy="133351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bIns="0" rtlCol="0" anchor="ctr"/>
        <a:lstStyle/>
        <a:p>
          <a:pPr algn="ctr"/>
          <a:r>
            <a:rPr lang="cs-CZ" sz="1200" b="1" i="1">
              <a:solidFill>
                <a:srgbClr val="FF0000"/>
              </a:solidFill>
            </a:rPr>
            <a:t>Insert new line above, if necessary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rojects_1" backgroundRefresh="0" connectionId="1" autoFormatId="16" applyNumberFormats="0" applyBorderFormats="0" applyFontFormats="0" applyPatternFormats="0" applyAlignmentFormats="0" applyWidthHeightFormats="0">
  <queryTableRefresh nextId="26">
    <queryTableFields count="22">
      <queryTableField id="1" name="Project name" tableColumnId="1"/>
      <queryTableField id="2" name="Project Nr#" tableColumnId="2"/>
      <queryTableField id="3" name="Project - Customer" tableColumnId="3"/>
      <queryTableField id="4" name="Production plant" tableColumnId="4"/>
      <queryTableField id="23" dataBound="0" tableColumnId="22"/>
      <queryTableField id="6" name="Prioriy" tableColumnId="6"/>
      <queryTableField id="7" name="Actual GW" tableColumnId="7"/>
      <queryTableField id="8" name="GW1" tableColumnId="8"/>
      <queryTableField id="9" name="GW2" tableColumnId="9"/>
      <queryTableField id="10" name="GW3" tableColumnId="10"/>
      <queryTableField id="11" name="MS4" tableColumnId="11"/>
      <queryTableField id="12" name="GW5" tableColumnId="12"/>
      <queryTableField id="13" name="MS6" tableColumnId="13"/>
      <queryTableField id="14" name="MS7" tableColumnId="14"/>
      <queryTableField id="15" name="GW8" tableColumnId="15"/>
      <queryTableField id="16" name="GW8,5" tableColumnId="16"/>
      <queryTableField id="17" name="MS9" tableColumnId="17"/>
      <queryTableField id="18" name="GW10" tableColumnId="18"/>
      <queryTableField id="19" name="GW11" tableColumnId="19"/>
      <queryTableField id="20" name="MS12" tableColumnId="20"/>
      <queryTableField id="21" name="MS13" tableColumnId="21"/>
      <queryTableField id="25" name="Product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6" name="Table_Projects_17" displayName="Table_Projects_17" ref="B1:W69" tableType="queryTable" totalsRowShown="0">
  <autoFilter ref="B1:W69"/>
  <tableColumns count="22">
    <tableColumn id="1" uniqueName="1" name="Project name" queryTableFieldId="1"/>
    <tableColumn id="2" uniqueName="2" name="Project Nr#" queryTableFieldId="2"/>
    <tableColumn id="3" uniqueName="3" name="Project - Customer" queryTableFieldId="3"/>
    <tableColumn id="4" uniqueName="4" name="Production plant" queryTableFieldId="4"/>
    <tableColumn id="22" uniqueName="22" name="Product" queryTableFieldId="23"/>
    <tableColumn id="6" uniqueName="6" name="Prioriy" queryTableFieldId="6"/>
    <tableColumn id="7" uniqueName="7" name="Actual GW" queryTableFieldId="7"/>
    <tableColumn id="8" uniqueName="8" name="GW1" queryTableFieldId="8" dataDxfId="108"/>
    <tableColumn id="9" uniqueName="9" name="GW2" queryTableFieldId="9" dataDxfId="107"/>
    <tableColumn id="10" uniqueName="10" name="GW3" queryTableFieldId="10" dataDxfId="106"/>
    <tableColumn id="11" uniqueName="11" name="MS4" queryTableFieldId="11" dataDxfId="105"/>
    <tableColumn id="12" uniqueName="12" name="GW5" queryTableFieldId="12" dataDxfId="104"/>
    <tableColumn id="13" uniqueName="13" name="MS6" queryTableFieldId="13" dataDxfId="103"/>
    <tableColumn id="14" uniqueName="14" name="MS7" queryTableFieldId="14" dataDxfId="102"/>
    <tableColumn id="15" uniqueName="15" name="GW8" queryTableFieldId="15" dataDxfId="101"/>
    <tableColumn id="16" uniqueName="16" name="GW8,5" queryTableFieldId="16" dataDxfId="100"/>
    <tableColumn id="17" uniqueName="17" name="MS9" queryTableFieldId="17" dataDxfId="99"/>
    <tableColumn id="18" uniqueName="18" name="GW10" queryTableFieldId="18" dataDxfId="98"/>
    <tableColumn id="19" uniqueName="19" name="GW11" queryTableFieldId="19" dataDxfId="97"/>
    <tableColumn id="20" uniqueName="20" name="MS12" queryTableFieldId="20" dataDxfId="96"/>
    <tableColumn id="21" uniqueName="21" name="MS13" queryTableFieldId="21" dataDxfId="95"/>
    <tableColumn id="23" uniqueName="23" name="Product2" queryTableFieldId="25" dataDxfId="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rokostal_tab" displayName="Prokostal_tab" ref="A2:B17" totalsRowShown="0">
  <autoFilter ref="A2:B17"/>
  <tableColumns count="2">
    <tableColumn id="1" name="Nr" dataDxfId="115"/>
    <tableColumn id="2" name="Prokostal" dataDxfId="114" dataCellStyle="Hypertextový odkaz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WBS_table" displayName="WBS_table" ref="A20:B23" totalsRowShown="0">
  <autoFilter ref="A20:B23"/>
  <tableColumns count="2">
    <tableColumn id="1" name="Description" dataDxfId="113"/>
    <tableColumn id="2" name="WBS Elemets" dataDxfId="112" dataCellStyle="Hypertextový odkaz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Costenter_list" displayName="Costenter_list" ref="A25:C28" totalsRowShown="0">
  <autoFilter ref="A25:C28"/>
  <tableColumns count="3">
    <tableColumn id="1" name="Description" dataDxfId="111"/>
    <tableColumn id="2" name="Costcenter" dataDxfId="110" dataCellStyle="Hypertextový odkaz 2"/>
    <tableColumn id="3" name="PAxx" dataDxfId="109" dataCellStyle="Hypertextový odkaz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DO501"/>
  <sheetViews>
    <sheetView topLeftCell="A31" zoomScaleNormal="100" workbookViewId="0">
      <selection activeCell="H58" sqref="H58"/>
    </sheetView>
  </sheetViews>
  <sheetFormatPr defaultRowHeight="15" x14ac:dyDescent="0.25"/>
  <cols>
    <col min="1" max="1" width="3.85546875" style="5" customWidth="1"/>
    <col min="2" max="2" width="52.140625" bestFit="1" customWidth="1"/>
    <col min="3" max="3" width="13.140625" bestFit="1" customWidth="1"/>
    <col min="4" max="4" width="20" bestFit="1" customWidth="1"/>
    <col min="5" max="5" width="18.140625" bestFit="1" customWidth="1"/>
    <col min="6" max="6" width="10.140625" customWidth="1"/>
    <col min="7" max="7" width="9.140625" customWidth="1"/>
    <col min="8" max="8" width="12.7109375" bestFit="1" customWidth="1"/>
    <col min="9" max="22" width="10.140625" customWidth="1"/>
    <col min="23" max="23" width="23.85546875" customWidth="1"/>
    <col min="24" max="24" width="13" customWidth="1"/>
    <col min="25" max="25" width="23.85546875" customWidth="1"/>
    <col min="26" max="26" width="10.140625" customWidth="1"/>
    <col min="27" max="16334" width="9.140625" customWidth="1"/>
    <col min="16335" max="16342" width="9.140625" style="6"/>
    <col min="16343" max="16343" width="25.28515625" style="6" customWidth="1"/>
  </cols>
  <sheetData>
    <row r="1" spans="1:23 16332:16343" x14ac:dyDescent="0.25">
      <c r="B1" t="s">
        <v>19</v>
      </c>
      <c r="C1" t="s">
        <v>90</v>
      </c>
      <c r="D1" t="s">
        <v>18</v>
      </c>
      <c r="E1" t="s">
        <v>20</v>
      </c>
      <c r="F1" t="s">
        <v>191</v>
      </c>
      <c r="G1" t="s">
        <v>153</v>
      </c>
      <c r="H1" t="s">
        <v>152</v>
      </c>
      <c r="I1" t="s">
        <v>0</v>
      </c>
      <c r="J1" t="s">
        <v>140</v>
      </c>
      <c r="K1" t="s">
        <v>139</v>
      </c>
      <c r="L1" t="s">
        <v>141</v>
      </c>
      <c r="M1" t="s">
        <v>142</v>
      </c>
      <c r="N1" t="s">
        <v>143</v>
      </c>
      <c r="O1" t="s">
        <v>144</v>
      </c>
      <c r="P1" t="s">
        <v>151</v>
      </c>
      <c r="Q1" t="s">
        <v>145</v>
      </c>
      <c r="R1" t="s">
        <v>146</v>
      </c>
      <c r="S1" t="s">
        <v>147</v>
      </c>
      <c r="T1" t="s">
        <v>148</v>
      </c>
      <c r="U1" t="s">
        <v>149</v>
      </c>
      <c r="V1" t="s">
        <v>150</v>
      </c>
      <c r="W1" t="s">
        <v>203</v>
      </c>
      <c r="XDD1" s="6" t="s">
        <v>160</v>
      </c>
      <c r="XDE1" s="6" t="s">
        <v>161</v>
      </c>
      <c r="XDF1" s="6"/>
      <c r="XDM1"/>
      <c r="XDN1"/>
      <c r="XDO1"/>
    </row>
    <row r="2" spans="1:23 16332:16343" x14ac:dyDescent="0.25">
      <c r="A2" s="5">
        <f ca="1">IF(ISNUMBER(SEARCH(INDIRECT(CELL("address")),Platforma_metis)),MAX(A$1:$A1)+1,0)</f>
        <v>1</v>
      </c>
      <c r="B2" t="s">
        <v>205</v>
      </c>
      <c r="H2" t="s">
        <v>180</v>
      </c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DD2" s="6">
        <f ca="1">IF(XDE2=0,"",COUNTIF(A$1:$A2,"&gt;0"))</f>
        <v>1</v>
      </c>
      <c r="XDE2" s="6">
        <f ca="1">IFERROR(SEARCH(INDIRECT(CELL("address")),B:B),0)</f>
        <v>1</v>
      </c>
      <c r="XDF2" s="6" t="str">
        <f ca="1">IFERROR(INDEX(Table_Projects_17[],MATCH(ROW(XDE1),XDG$2:XDG$500,0),1),"")</f>
        <v>SCM COM2023</v>
      </c>
      <c r="XDK2" s="6">
        <f ca="1">IF(ISNUMBER(SEARCH(INDIRECT(CELL("address")),Platforma_metis)),MAX(XDK$1:$XDK1)+1,0)</f>
        <v>1</v>
      </c>
      <c r="XDL2" s="6" t="str">
        <f ca="1">IFERROR(VLOOKUP(ROWS($XDK$2:XDK2),A:A,2,FALSE),"")</f>
        <v/>
      </c>
      <c r="XDM2"/>
      <c r="XDN2"/>
      <c r="XDO2"/>
    </row>
    <row r="3" spans="1:23 16332:16343" x14ac:dyDescent="0.25">
      <c r="A3" s="5">
        <f ca="1">IF(ISNUMBER(SEARCH(INDIRECT(CELL("address")),Platforma_metis)),MAX(A$1:$A2)+1,0)</f>
        <v>2</v>
      </c>
      <c r="B3" t="s">
        <v>122</v>
      </c>
      <c r="C3" t="s">
        <v>47</v>
      </c>
      <c r="D3" t="s">
        <v>33</v>
      </c>
      <c r="E3" t="s">
        <v>23</v>
      </c>
      <c r="G3">
        <v>19</v>
      </c>
      <c r="H3" t="s">
        <v>180</v>
      </c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DD3" s="6">
        <f ca="1">IF(XDE3=0,"",COUNTIF(A$1:$A3,"&gt;0"))</f>
        <v>2</v>
      </c>
      <c r="XDE3" s="6">
        <f ca="1">IFERROR(SEARCH(INDIRECT(CELL("address")),B:B),0)</f>
        <v>1</v>
      </c>
      <c r="XDF3" s="6" t="str">
        <f ca="1">IFERROR(INDEX(Table_Projects_17[],MATCH(ROW(XDE2),XDG$2:XDG$1048576,0),1),"")</f>
        <v/>
      </c>
      <c r="XDK3" s="6">
        <f ca="1">IF(ISNUMBER(SEARCH(INDIRECT(CELL("address")),Platforma_metis)),MAX(XDK$1:$XDK2)+1,0)</f>
        <v>2</v>
      </c>
      <c r="XDL3" s="6" t="str">
        <f ca="1">IFERROR(VLOOKUP(ROWS($XDK$2:XDK3),A:A,2,FALSE),"")</f>
        <v/>
      </c>
      <c r="XDM3"/>
      <c r="XDN3"/>
      <c r="XDO3"/>
    </row>
    <row r="4" spans="1:23 16332:16343" x14ac:dyDescent="0.25">
      <c r="A4" s="5">
        <f ca="1">IF(ISNUMBER(SEARCH(INDIRECT(CELL("address")),Platforma_metis)),MAX(A$1:$A3)+1,0)</f>
        <v>3</v>
      </c>
      <c r="B4" t="s">
        <v>128</v>
      </c>
      <c r="C4" t="s">
        <v>56</v>
      </c>
      <c r="D4" t="s">
        <v>55</v>
      </c>
      <c r="E4" t="s">
        <v>25</v>
      </c>
      <c r="G4">
        <v>25</v>
      </c>
      <c r="H4" t="s">
        <v>180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DD4" s="6">
        <f ca="1">IF(XDE4=0,"",COUNTIF(A$1:$A4,"&gt;0"))</f>
        <v>3</v>
      </c>
      <c r="XDE4" s="6">
        <f ca="1">IFERROR(SEARCH(INDIRECT(CELL("address")),B:B),0)</f>
        <v>1</v>
      </c>
      <c r="XDF4" s="6" t="str">
        <f ca="1">IFERROR(INDEX(Table_Projects_17[],MATCH(ROW(XDE3),XDG$2:XDG$1048576,0),1),"")</f>
        <v/>
      </c>
      <c r="XDK4" s="6">
        <f ca="1">IF(ISNUMBER(SEARCH(INDIRECT(CELL("address")),Platforma_metis)),MAX(XDK$1:$XDK3)+1,0)</f>
        <v>3</v>
      </c>
      <c r="XDL4" s="6" t="str">
        <f ca="1">IFERROR(VLOOKUP(ROWS($XDK$2:XDK4),A:A,2,FALSE),"")</f>
        <v/>
      </c>
      <c r="XDM4"/>
      <c r="XDN4"/>
      <c r="XDO4"/>
    </row>
    <row r="5" spans="1:23 16332:16343" x14ac:dyDescent="0.25">
      <c r="A5" s="5">
        <f ca="1">IF(ISNUMBER(SEARCH(INDIRECT(CELL("address")),Platforma_metis)),MAX(A$1:$A4)+1,0)</f>
        <v>4</v>
      </c>
      <c r="B5" t="s">
        <v>121</v>
      </c>
      <c r="C5" t="s">
        <v>46</v>
      </c>
      <c r="D5" t="s">
        <v>33</v>
      </c>
      <c r="E5" t="s">
        <v>23</v>
      </c>
      <c r="G5">
        <v>18</v>
      </c>
      <c r="H5" t="s">
        <v>180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DD5" s="6">
        <f ca="1">IF(XDE5=0,"",COUNTIF(A$1:$A5,"&gt;0"))</f>
        <v>4</v>
      </c>
      <c r="XDE5" s="6">
        <f ca="1">IFERROR(SEARCH(INDIRECT(CELL("address")),B:B),0)</f>
        <v>1</v>
      </c>
      <c r="XDF5" s="6" t="str">
        <f ca="1">IFERROR(INDEX(Table_Projects_17[],MATCH(ROW(XDE4),XDG$2:XDG$1048576,0),1),"")</f>
        <v/>
      </c>
      <c r="XDJ5" s="6" t="s">
        <v>162</v>
      </c>
      <c r="XDK5" s="6">
        <f ca="1">IF(ISNUMBER(SEARCH(INDIRECT(CELL("address")),Platforma_metis)),MAX(XDK$1:$XDK4)+1,0)</f>
        <v>4</v>
      </c>
      <c r="XDL5" s="6" t="str">
        <f ca="1">IFERROR(VLOOKUP(ROWS($XDK$2:XDK5),A:A,2,FALSE),"")</f>
        <v/>
      </c>
      <c r="XDM5"/>
      <c r="XDN5"/>
      <c r="XDO5"/>
    </row>
    <row r="6" spans="1:23 16332:16343" x14ac:dyDescent="0.25">
      <c r="A6" s="5">
        <f ca="1">IF(ISNUMBER(SEARCH(INDIRECT(CELL("address")),Platforma_metis)),MAX(A$1:$A5)+1,0)</f>
        <v>5</v>
      </c>
      <c r="B6" t="s">
        <v>97</v>
      </c>
      <c r="C6" t="s">
        <v>77</v>
      </c>
      <c r="D6" t="s">
        <v>31</v>
      </c>
      <c r="E6" t="s">
        <v>75</v>
      </c>
      <c r="H6" t="s">
        <v>180</v>
      </c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DD6" s="6">
        <f ca="1">IF(XDE6=0,"",COUNTIF(A$1:$A6,"&gt;0"))</f>
        <v>5</v>
      </c>
      <c r="XDE6" s="6">
        <f ca="1">IFERROR(SEARCH(INDIRECT(CELL("address")),B:B),0)</f>
        <v>1</v>
      </c>
      <c r="XDF6" s="6" t="str">
        <f ca="1">IFERROR(INDEX(Table_Projects_17[],MATCH(ROW(XDE5),XDG$2:XDG$1048576,0),1),"")</f>
        <v/>
      </c>
      <c r="XDJ6" s="6" t="s">
        <v>163</v>
      </c>
      <c r="XDK6" s="6">
        <f ca="1">IF(ISNUMBER(SEARCH(INDIRECT(CELL("address")),Platforma_metis)),MAX(XDK$1:$XDK5)+1,0)</f>
        <v>5</v>
      </c>
      <c r="XDL6" s="6" t="str">
        <f ca="1">IFERROR(VLOOKUP(ROWS($XDK$2:XDK6),A:A,2,FALSE),"")</f>
        <v/>
      </c>
      <c r="XDM6"/>
      <c r="XDN6"/>
      <c r="XDO6"/>
    </row>
    <row r="7" spans="1:23 16332:16343" x14ac:dyDescent="0.25">
      <c r="A7" s="5">
        <f ca="1">IF(ISNUMBER(SEARCH(INDIRECT(CELL("address")),Platforma_metis)),MAX(A$1:$A6)+1,0)</f>
        <v>6</v>
      </c>
      <c r="B7" t="s">
        <v>129</v>
      </c>
      <c r="C7" t="s">
        <v>57</v>
      </c>
      <c r="D7" t="s">
        <v>55</v>
      </c>
      <c r="E7" t="s">
        <v>25</v>
      </c>
      <c r="G7">
        <v>26</v>
      </c>
      <c r="H7" t="s">
        <v>180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DD7" s="6">
        <f ca="1">IF(XDE7=0,"",COUNTIF(A$1:$A7,"&gt;0"))</f>
        <v>6</v>
      </c>
      <c r="XDE7" s="6">
        <f ca="1">IFERROR(SEARCH(INDIRECT(CELL("address")),B:B),0)</f>
        <v>1</v>
      </c>
      <c r="XDF7" s="6" t="str">
        <f ca="1">IFERROR(INDEX(Table_Projects_17[],MATCH(ROW(XDE6),XDG$2:XDG$1048576,0),1),"")</f>
        <v/>
      </c>
      <c r="XDK7" s="6">
        <f ca="1">IF(ISNUMBER(SEARCH(INDIRECT(CELL("address")),Platforma_metis)),MAX(XDK$1:$XDK6)+1,0)</f>
        <v>6</v>
      </c>
      <c r="XDL7" s="6" t="str">
        <f ca="1">IFERROR(VLOOKUP(ROWS($XDK$2:XDK7),A:A,2,FALSE),"")</f>
        <v/>
      </c>
      <c r="XDM7"/>
      <c r="XDN7"/>
      <c r="XDO7"/>
    </row>
    <row r="8" spans="1:23 16332:16343" x14ac:dyDescent="0.25">
      <c r="A8" s="5">
        <f ca="1">IF(ISNUMBER(SEARCH(INDIRECT(CELL("address")),Platforma_metis)),MAX(A$1:$A7)+1,0)</f>
        <v>7</v>
      </c>
      <c r="B8" t="s">
        <v>130</v>
      </c>
      <c r="C8" t="s">
        <v>58</v>
      </c>
      <c r="D8" t="s">
        <v>55</v>
      </c>
      <c r="E8" t="s">
        <v>25</v>
      </c>
      <c r="G8">
        <v>27</v>
      </c>
      <c r="H8" t="s">
        <v>180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DD8" s="6">
        <f ca="1">IF(XDE8=0,"",COUNTIF(A$1:$A8,"&gt;0"))</f>
        <v>7</v>
      </c>
      <c r="XDE8" s="6">
        <f ca="1">IFERROR(SEARCH(INDIRECT(CELL("address")),B:B),0)</f>
        <v>1</v>
      </c>
      <c r="XDF8" s="6" t="str">
        <f ca="1">IFERROR(INDEX(Table_Projects_17[],MATCH(ROW(XDE7),XDG$2:XDG$1048576,0),1),"")</f>
        <v/>
      </c>
      <c r="XDK8" s="6">
        <f ca="1">IF(ISNUMBER(SEARCH(INDIRECT(CELL("address")),Platforma_metis)),MAX(XDK$1:$XDK7)+1,0)</f>
        <v>7</v>
      </c>
      <c r="XDL8" s="6" t="str">
        <f ca="1">IFERROR(VLOOKUP(ROWS($XDK$2:XDK8),A:A,2,FALSE),"")</f>
        <v/>
      </c>
      <c r="XDM8"/>
      <c r="XDN8"/>
      <c r="XDO8"/>
    </row>
    <row r="9" spans="1:23 16332:16343" x14ac:dyDescent="0.25">
      <c r="A9" s="5">
        <f ca="1">IF(ISNUMBER(SEARCH(INDIRECT(CELL("address")),Platforma_metis)),MAX(A$1:$A8)+1,0)</f>
        <v>8</v>
      </c>
      <c r="B9" t="s">
        <v>119</v>
      </c>
      <c r="C9" t="s">
        <v>45</v>
      </c>
      <c r="D9" t="s">
        <v>21</v>
      </c>
      <c r="E9" t="s">
        <v>23</v>
      </c>
      <c r="G9">
        <v>17</v>
      </c>
      <c r="H9" t="s">
        <v>180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DD9" s="6">
        <f ca="1">IF(XDE9=0,"",COUNTIF(A$1:$A9,"&gt;0"))</f>
        <v>8</v>
      </c>
      <c r="XDE9" s="6">
        <f ca="1">IFERROR(SEARCH(INDIRECT(CELL("address")),B:B),0)</f>
        <v>1</v>
      </c>
      <c r="XDF9" s="6" t="str">
        <f ca="1">IFERROR(INDEX(Table_Projects_17[],MATCH(ROW(XDE8),XDG$2:XDG$1048576,0),1),"")</f>
        <v/>
      </c>
      <c r="XDJ9" s="6" t="s">
        <v>164</v>
      </c>
      <c r="XDK9" s="6">
        <f ca="1">IF(ISNUMBER(SEARCH(INDIRECT(CELL("address")),Platforma_metis)),MAX(XDK$1:$XDK8)+1,0)</f>
        <v>8</v>
      </c>
      <c r="XDL9" s="6" t="str">
        <f ca="1">IFERROR(VLOOKUP(ROWS($XDK$2:XDK9),A:A,2,FALSE),"")</f>
        <v/>
      </c>
      <c r="XDM9"/>
      <c r="XDN9"/>
      <c r="XDO9"/>
    </row>
    <row r="10" spans="1:23 16332:16343" x14ac:dyDescent="0.25">
      <c r="A10" s="5">
        <f ca="1">IF(ISNUMBER(SEARCH(INDIRECT(CELL("address")),Platforma_metis)),MAX(A$1:$A9)+1,0)</f>
        <v>9</v>
      </c>
      <c r="B10" t="s">
        <v>131</v>
      </c>
      <c r="C10" t="s">
        <v>59</v>
      </c>
      <c r="D10" t="s">
        <v>55</v>
      </c>
      <c r="E10" t="s">
        <v>25</v>
      </c>
      <c r="G10">
        <v>28</v>
      </c>
      <c r="H10" t="s">
        <v>180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DD10" s="6">
        <f ca="1">IF(XDE10=0,"",COUNTIF(A$1:$A10,"&gt;0"))</f>
        <v>9</v>
      </c>
      <c r="XDE10" s="6">
        <f ca="1">IFERROR(SEARCH(INDIRECT(CELL("address")),B:B),0)</f>
        <v>1</v>
      </c>
      <c r="XDF10" s="6" t="str">
        <f ca="1">IFERROR(INDEX(Table_Projects_17[],MATCH(ROW(XDE9),XDG$2:XDG$1048576,0),1),"")</f>
        <v/>
      </c>
      <c r="XDK10" s="6">
        <f ca="1">IF(ISNUMBER(SEARCH(INDIRECT(CELL("address")),Platforma_metis)),MAX(XDK$1:$XDK9)+1,0)</f>
        <v>9</v>
      </c>
      <c r="XDL10" s="6" t="str">
        <f ca="1">IFERROR(VLOOKUP(ROWS($XDK$2:XDK10),A:A,2,FALSE),"")</f>
        <v/>
      </c>
      <c r="XDM10"/>
      <c r="XDN10"/>
      <c r="XDO10"/>
    </row>
    <row r="11" spans="1:23 16332:16343" x14ac:dyDescent="0.25">
      <c r="A11" s="5">
        <f ca="1">IF(ISNUMBER(SEARCH(INDIRECT(CELL("address")),Platforma_metis)),MAX(A$1:$A10)+1,0)</f>
        <v>10</v>
      </c>
      <c r="B11" t="s">
        <v>132</v>
      </c>
      <c r="C11" t="s">
        <v>60</v>
      </c>
      <c r="D11" t="s">
        <v>55</v>
      </c>
      <c r="E11" t="s">
        <v>25</v>
      </c>
      <c r="G11">
        <v>29</v>
      </c>
      <c r="H11" t="s">
        <v>180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DD11" s="6">
        <f ca="1">IF(XDE11=0,"",COUNTIF(A$1:$A11,"&gt;0"))</f>
        <v>10</v>
      </c>
      <c r="XDE11" s="6">
        <f ca="1">IFERROR(SEARCH(INDIRECT(CELL("address")),B:B),0)</f>
        <v>1</v>
      </c>
      <c r="XDF11" s="6" t="str">
        <f ca="1">IFERROR(INDEX(Table_Projects_17[],MATCH(ROW(XDE10),XDG$2:XDG$1048576,0),1),"")</f>
        <v/>
      </c>
      <c r="XDK11" s="6">
        <f ca="1">IF(ISNUMBER(SEARCH(INDIRECT(CELL("address")),Platforma_metis)),MAX(XDK$1:$XDK10)+1,0)</f>
        <v>10</v>
      </c>
      <c r="XDL11" s="6" t="str">
        <f ca="1">IFERROR(VLOOKUP(ROWS($XDK$2:XDK11),A:A,2,FALSE),"")</f>
        <v/>
      </c>
      <c r="XDM11"/>
      <c r="XDN11"/>
      <c r="XDO11"/>
    </row>
    <row r="12" spans="1:23 16332:16343" x14ac:dyDescent="0.25">
      <c r="A12" s="5">
        <f ca="1">IF(ISNUMBER(SEARCH(INDIRECT(CELL("address")),Platforma_metis)),MAX(A$1:$A11)+1,0)</f>
        <v>11</v>
      </c>
      <c r="B12" t="s">
        <v>96</v>
      </c>
      <c r="C12" t="s">
        <v>27</v>
      </c>
      <c r="D12" t="s">
        <v>21</v>
      </c>
      <c r="E12" t="s">
        <v>25</v>
      </c>
      <c r="G12">
        <v>4</v>
      </c>
      <c r="H12" t="s">
        <v>180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DD12" s="6">
        <f ca="1">IF(XDE12=0,"",COUNTIF(A$1:$A12,"&gt;0"))</f>
        <v>11</v>
      </c>
      <c r="XDE12" s="6">
        <f ca="1">IFERROR(SEARCH(INDIRECT(CELL("address")),B:B),0)</f>
        <v>1</v>
      </c>
      <c r="XDF12" s="6" t="str">
        <f ca="1">IFERROR(INDEX(Table_Projects_17[],MATCH(ROW(XDE11),XDG$2:XDG$1048576,0),1),"")</f>
        <v/>
      </c>
      <c r="XDK12" s="6">
        <f ca="1">IF(ISNUMBER(SEARCH(INDIRECT(CELL("address")),Platforma_metis)),MAX(XDK$1:$XDK11)+1,0)</f>
        <v>11</v>
      </c>
      <c r="XDL12" s="6" t="str">
        <f ca="1">IFERROR(VLOOKUP(ROWS($XDK$2:XDK12),A:A,2,FALSE),"")</f>
        <v/>
      </c>
      <c r="XDM12"/>
      <c r="XDN12"/>
      <c r="XDO12"/>
    </row>
    <row r="13" spans="1:23 16332:16343" x14ac:dyDescent="0.25">
      <c r="A13" s="5">
        <f ca="1">IF(ISNUMBER(SEARCH(INDIRECT(CELL("address")),Platforma_metis)),MAX(A$1:$A12)+1,0)</f>
        <v>12</v>
      </c>
      <c r="B13" t="s">
        <v>133</v>
      </c>
      <c r="C13" t="s">
        <v>61</v>
      </c>
      <c r="D13" t="s">
        <v>55</v>
      </c>
      <c r="E13" t="s">
        <v>23</v>
      </c>
      <c r="G13">
        <v>30</v>
      </c>
      <c r="H13" t="s">
        <v>180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DD13" s="6">
        <f ca="1">IF(XDE13=0,"",COUNTIF(A$1:$A13,"&gt;0"))</f>
        <v>12</v>
      </c>
      <c r="XDE13" s="6">
        <f ca="1">IFERROR(SEARCH(INDIRECT(CELL("address")),B:B),0)</f>
        <v>1</v>
      </c>
      <c r="XDF13" s="6" t="str">
        <f ca="1">IFERROR(INDEX(Table_Projects_17[],MATCH(ROW(XDE12),XDG$2:XDG$1048576,0),1),"")</f>
        <v/>
      </c>
      <c r="XDK13" s="6">
        <f ca="1">IF(ISNUMBER(SEARCH(INDIRECT(CELL("address")),Platforma_metis)),MAX(XDK$1:$XDK12)+1,0)</f>
        <v>12</v>
      </c>
      <c r="XDL13" s="6" t="str">
        <f ca="1">IFERROR(VLOOKUP(ROWS($XDK$2:XDK13),A:A,2,FALSE),"")</f>
        <v/>
      </c>
      <c r="XDM13"/>
      <c r="XDN13"/>
      <c r="XDO13"/>
    </row>
    <row r="14" spans="1:23 16332:16343" x14ac:dyDescent="0.25">
      <c r="A14" s="5">
        <f ca="1">IF(ISNUMBER(SEARCH(INDIRECT(CELL("address")),Platforma_metis)),MAX(A$1:$A13)+1,0)</f>
        <v>13</v>
      </c>
      <c r="B14" t="s">
        <v>117</v>
      </c>
      <c r="C14" t="s">
        <v>44</v>
      </c>
      <c r="D14" t="s">
        <v>21</v>
      </c>
      <c r="E14" t="s">
        <v>23</v>
      </c>
      <c r="G14">
        <v>16</v>
      </c>
      <c r="H14" t="s">
        <v>180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DD14" s="6">
        <f ca="1">IF(XDE14=0,"",COUNTIF(A$1:$A14,"&gt;0"))</f>
        <v>13</v>
      </c>
      <c r="XDE14" s="6">
        <f ca="1">IFERROR(SEARCH(INDIRECT(CELL("address")),B:B),0)</f>
        <v>1</v>
      </c>
      <c r="XDF14" s="6" t="str">
        <f ca="1">IFERROR(INDEX(Table_Projects_17[],MATCH(ROW(XDE13),XDG$2:XDG$1048576,0),1),"")</f>
        <v/>
      </c>
      <c r="XDK14" s="6">
        <f ca="1">IF(ISNUMBER(SEARCH(INDIRECT(CELL("address")),Platforma_metis)),MAX(XDK$1:$XDK13)+1,0)</f>
        <v>13</v>
      </c>
      <c r="XDL14" s="6" t="str">
        <f ca="1">IFERROR(VLOOKUP(ROWS($XDK$2:XDK14),A:A,2,FALSE),"")</f>
        <v/>
      </c>
      <c r="XDM14"/>
      <c r="XDN14"/>
      <c r="XDO14"/>
    </row>
    <row r="15" spans="1:23 16332:16343" x14ac:dyDescent="0.25">
      <c r="A15" s="5">
        <f ca="1">IF(ISNUMBER(SEARCH(INDIRECT(CELL("address")),Platforma_metis)),MAX(A$1:$A14)+1,0)</f>
        <v>14</v>
      </c>
      <c r="B15" t="s">
        <v>126</v>
      </c>
      <c r="C15" t="s">
        <v>53</v>
      </c>
      <c r="D15" t="s">
        <v>31</v>
      </c>
      <c r="E15" t="s">
        <v>23</v>
      </c>
      <c r="G15">
        <v>23</v>
      </c>
      <c r="H15" t="s">
        <v>180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DD15" s="6">
        <f ca="1">IF(XDE15=0,"",COUNTIF(A$1:$A15,"&gt;0"))</f>
        <v>14</v>
      </c>
      <c r="XDE15" s="6">
        <f ca="1">IFERROR(SEARCH(INDIRECT(CELL("address")),B:B),0)</f>
        <v>1</v>
      </c>
      <c r="XDF15" s="6" t="str">
        <f ca="1">IFERROR(INDEX(Table_Projects_17[],MATCH(ROW(XDE14),XDG$2:XDG$1048576,0),1),"")</f>
        <v/>
      </c>
      <c r="XDK15" s="6">
        <f ca="1">IF(ISNUMBER(SEARCH(INDIRECT(CELL("address")),Platforma_metis)),MAX(XDK$1:$XDK14)+1,0)</f>
        <v>14</v>
      </c>
      <c r="XDL15" s="6" t="str">
        <f ca="1">IFERROR(VLOOKUP(ROWS($XDK$2:XDK15),A:A,2,FALSE),"")</f>
        <v/>
      </c>
      <c r="XDM15"/>
      <c r="XDN15"/>
      <c r="XDO15"/>
    </row>
    <row r="16" spans="1:23 16332:16343" x14ac:dyDescent="0.25">
      <c r="A16" s="5">
        <f ca="1">IF(ISNUMBER(SEARCH(INDIRECT(CELL("address")),Platforma_metis)),MAX(A$1:$A15)+1,0)</f>
        <v>15</v>
      </c>
      <c r="B16" t="s">
        <v>134</v>
      </c>
      <c r="C16" t="s">
        <v>62</v>
      </c>
      <c r="D16" t="s">
        <v>55</v>
      </c>
      <c r="E16" t="s">
        <v>23</v>
      </c>
      <c r="G16">
        <v>31</v>
      </c>
      <c r="H16" t="s">
        <v>180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DD16" s="6">
        <f ca="1">IF(XDE16=0,"",COUNTIF(A$1:$A16,"&gt;0"))</f>
        <v>15</v>
      </c>
      <c r="XDE16" s="6">
        <f ca="1">IFERROR(SEARCH(INDIRECT(CELL("address")),B:B),0)</f>
        <v>1</v>
      </c>
      <c r="XDF16" s="6" t="str">
        <f ca="1">IFERROR(INDEX(Table_Projects_17[],MATCH(ROW(XDE15),XDG$2:XDG$1048576,0),1),"")</f>
        <v/>
      </c>
      <c r="XDK16" s="6">
        <f ca="1">IF(ISNUMBER(SEARCH(INDIRECT(CELL("address")),Platforma_metis)),MAX(XDK$1:$XDK15)+1,0)</f>
        <v>15</v>
      </c>
      <c r="XDL16" s="6" t="str">
        <f ca="1">IFERROR(VLOOKUP(ROWS($XDK$2:XDK16),A:A,2,FALSE),"")</f>
        <v/>
      </c>
      <c r="XDM16"/>
      <c r="XDN16"/>
      <c r="XDO16"/>
    </row>
    <row r="17" spans="1:23 16332:16343" x14ac:dyDescent="0.25">
      <c r="A17" s="5">
        <f ca="1">IF(ISNUMBER(SEARCH(INDIRECT(CELL("address")),Platforma_metis)),MAX(A$1:$A16)+1,0)</f>
        <v>16</v>
      </c>
      <c r="B17" t="s">
        <v>115</v>
      </c>
      <c r="C17" t="s">
        <v>43</v>
      </c>
      <c r="D17" t="s">
        <v>21</v>
      </c>
      <c r="E17" t="s">
        <v>23</v>
      </c>
      <c r="G17">
        <v>15</v>
      </c>
      <c r="H17" t="s">
        <v>180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DD17" s="6">
        <f ca="1">IF(XDE17=0,"",COUNTIF(A$1:$A17,"&gt;0"))</f>
        <v>16</v>
      </c>
      <c r="XDE17" s="6">
        <f ca="1">IFERROR(SEARCH(INDIRECT(CELL("address")),B:B),0)</f>
        <v>1</v>
      </c>
      <c r="XDF17" s="6" t="str">
        <f ca="1">IFERROR(INDEX(Table_Projects_17[],MATCH(ROW(XDE16),XDG$2:XDG$1048576,0),1),"")</f>
        <v/>
      </c>
      <c r="XDK17" s="6">
        <f ca="1">IF(ISNUMBER(SEARCH(INDIRECT(CELL("address")),Platforma_metis)),MAX(XDK$1:$XDK16)+1,0)</f>
        <v>16</v>
      </c>
      <c r="XDL17" s="6" t="str">
        <f ca="1">IFERROR(VLOOKUP(ROWS($XDK$2:XDK17),A:A,2,FALSE),"")</f>
        <v/>
      </c>
      <c r="XDM17"/>
      <c r="XDN17"/>
      <c r="XDO17"/>
    </row>
    <row r="18" spans="1:23 16332:16343" x14ac:dyDescent="0.25">
      <c r="A18" s="5">
        <f ca="1">IF(ISNUMBER(SEARCH(INDIRECT(CELL("address")),Platforma_metis)),MAX(A$1:$A17)+1,0)</f>
        <v>17</v>
      </c>
      <c r="B18" t="s">
        <v>110</v>
      </c>
      <c r="C18" t="s">
        <v>42</v>
      </c>
      <c r="D18" t="s">
        <v>21</v>
      </c>
      <c r="E18" t="s">
        <v>23</v>
      </c>
      <c r="G18">
        <v>14</v>
      </c>
      <c r="H18" t="s">
        <v>180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DD18" s="6">
        <f ca="1">IF(XDE18=0,"",COUNTIF(A$1:$A18,"&gt;0"))</f>
        <v>17</v>
      </c>
      <c r="XDE18" s="6">
        <f ca="1">IFERROR(SEARCH(INDIRECT(CELL("address")),B:B),0)</f>
        <v>1</v>
      </c>
      <c r="XDF18" s="6" t="str">
        <f ca="1">IFERROR(INDEX(Table_Projects_17[],MATCH(ROW(XDE17),XDG$2:XDG$1048576,0),1),"")</f>
        <v/>
      </c>
      <c r="XDK18" s="6">
        <f ca="1">IF(ISNUMBER(SEARCH(INDIRECT(CELL("address")),Platforma_metis)),MAX(XDK$1:$XDK17)+1,0)</f>
        <v>17</v>
      </c>
      <c r="XDL18" s="6" t="str">
        <f ca="1">IFERROR(VLOOKUP(ROWS($XDK$2:XDK18),A:A,2,FALSE),"")</f>
        <v/>
      </c>
      <c r="XDM18"/>
      <c r="XDN18"/>
      <c r="XDO18"/>
    </row>
    <row r="19" spans="1:23 16332:16343" x14ac:dyDescent="0.25">
      <c r="A19" s="5">
        <f ca="1">IF(ISNUMBER(SEARCH(INDIRECT(CELL("address")),Platforma_metis)),MAX(A$1:$A18)+1,0)</f>
        <v>18</v>
      </c>
      <c r="B19" t="s">
        <v>108</v>
      </c>
      <c r="C19" t="s">
        <v>80</v>
      </c>
      <c r="D19" t="s">
        <v>55</v>
      </c>
      <c r="E19" t="s">
        <v>75</v>
      </c>
      <c r="H19" t="s">
        <v>180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DD19" s="6">
        <f ca="1">IF(XDE19=0,"",COUNTIF(A$1:$A19,"&gt;0"))</f>
        <v>18</v>
      </c>
      <c r="XDE19" s="6">
        <f ca="1">IFERROR(SEARCH(INDIRECT(CELL("address")),B:B),0)</f>
        <v>1</v>
      </c>
      <c r="XDF19" s="6" t="str">
        <f ca="1">IFERROR(INDEX(Table_Projects_17[],MATCH(ROW(XDE18),XDG$2:XDG$1048576,0),1),"")</f>
        <v/>
      </c>
      <c r="XDK19" s="6">
        <f ca="1">IF(ISNUMBER(SEARCH(INDIRECT(CELL("address")),Platforma_metis)),MAX(XDK$1:$XDK18)+1,0)</f>
        <v>18</v>
      </c>
      <c r="XDL19" s="6" t="str">
        <f ca="1">IFERROR(VLOOKUP(ROWS($XDK$2:XDK19),A:A,2,FALSE),"")</f>
        <v/>
      </c>
      <c r="XDM19"/>
      <c r="XDN19"/>
      <c r="XDO19"/>
    </row>
    <row r="20" spans="1:23 16332:16343" x14ac:dyDescent="0.25">
      <c r="A20" s="5">
        <f ca="1">IF(ISNUMBER(SEARCH(INDIRECT(CELL("address")),Platforma_metis)),MAX(A$1:$A19)+1,0)</f>
        <v>19</v>
      </c>
      <c r="B20" t="s">
        <v>100</v>
      </c>
      <c r="C20" t="s">
        <v>30</v>
      </c>
      <c r="D20" t="s">
        <v>28</v>
      </c>
      <c r="E20" t="s">
        <v>23</v>
      </c>
      <c r="G20">
        <v>6</v>
      </c>
      <c r="H20" t="s">
        <v>180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DD20" s="6">
        <f ca="1">IF(XDE20=0,"",COUNTIF(A$1:$A20,"&gt;0"))</f>
        <v>19</v>
      </c>
      <c r="XDE20" s="6">
        <f ca="1">IFERROR(SEARCH(INDIRECT(CELL("address")),B:B),0)</f>
        <v>1</v>
      </c>
      <c r="XDF20" s="6" t="str">
        <f ca="1">IFERROR(INDEX(Table_Projects_17[],MATCH(ROW(XDE19),XDG$2:XDG$1048576,0),1),"")</f>
        <v/>
      </c>
      <c r="XDK20" s="6">
        <f ca="1">IF(ISNUMBER(SEARCH(INDIRECT(CELL("address")),Platforma_metis)),MAX(XDK$1:$XDK19)+1,0)</f>
        <v>19</v>
      </c>
      <c r="XDL20" s="6" t="str">
        <f ca="1">IFERROR(VLOOKUP(ROWS($XDK$2:XDK20),A:A,2,FALSE),"")</f>
        <v/>
      </c>
      <c r="XDM20"/>
      <c r="XDN20"/>
      <c r="XDO20"/>
    </row>
    <row r="21" spans="1:23 16332:16343" x14ac:dyDescent="0.25">
      <c r="A21" s="5">
        <f ca="1">IF(ISNUMBER(SEARCH(INDIRECT(CELL("address")),Platforma_metis)),MAX(A$1:$A20)+1,0)</f>
        <v>20</v>
      </c>
      <c r="B21" t="s">
        <v>94</v>
      </c>
      <c r="C21" t="s">
        <v>74</v>
      </c>
      <c r="D21" t="s">
        <v>51</v>
      </c>
      <c r="E21" t="s">
        <v>75</v>
      </c>
      <c r="H21" t="s">
        <v>180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DD21" s="6">
        <f ca="1">IF(XDE21=0,"",COUNTIF(A$1:$A21,"&gt;0"))</f>
        <v>20</v>
      </c>
      <c r="XDE21" s="6">
        <f ca="1">IFERROR(SEARCH(INDIRECT(CELL("address")),B:B),0)</f>
        <v>1</v>
      </c>
      <c r="XDF21" s="6" t="str">
        <f ca="1">IFERROR(INDEX(Table_Projects_17[],MATCH(ROW(XDE20),XDG$2:XDG$1048576,0),1),"")</f>
        <v/>
      </c>
      <c r="XDK21" s="6">
        <f ca="1">IF(ISNUMBER(SEARCH(INDIRECT(CELL("address")),Platforma_metis)),MAX(XDK$1:$XDK20)+1,0)</f>
        <v>20</v>
      </c>
      <c r="XDL21" s="6" t="str">
        <f ca="1">IFERROR(VLOOKUP(ROWS($XDK$2:XDK21),A:A,2,FALSE),"")</f>
        <v/>
      </c>
      <c r="XDM21"/>
      <c r="XDN21"/>
      <c r="XDO21"/>
    </row>
    <row r="22" spans="1:23 16332:16343" x14ac:dyDescent="0.25">
      <c r="A22" s="5">
        <f ca="1">IF(ISNUMBER(SEARCH(INDIRECT(CELL("address")),Platforma_metis)),MAX(A$1:$A21)+1,0)</f>
        <v>21</v>
      </c>
      <c r="B22" t="s">
        <v>106</v>
      </c>
      <c r="C22" t="s">
        <v>40</v>
      </c>
      <c r="D22" t="s">
        <v>21</v>
      </c>
      <c r="E22" t="s">
        <v>25</v>
      </c>
      <c r="G22">
        <v>13</v>
      </c>
      <c r="H22" t="s">
        <v>180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DD22" s="6">
        <f ca="1">IF(XDE22=0,"",COUNTIF(A$1:$A22,"&gt;0"))</f>
        <v>21</v>
      </c>
      <c r="XDE22" s="6">
        <f ca="1">IFERROR(SEARCH(INDIRECT(CELL("address")),B:B),0)</f>
        <v>1</v>
      </c>
      <c r="XDF22" s="6" t="str">
        <f ca="1">IFERROR(INDEX(Table_Projects_17[],MATCH(ROW(XDE21),XDG$2:XDG$1048576,0),1),"")</f>
        <v/>
      </c>
      <c r="XDK22" s="6">
        <f ca="1">IF(ISNUMBER(SEARCH(INDIRECT(CELL("address")),Platforma_metis)),MAX(XDK$1:$XDK21)+1,0)</f>
        <v>21</v>
      </c>
      <c r="XDL22" s="6" t="str">
        <f ca="1">IFERROR(VLOOKUP(ROWS($XDK$2:XDK22),A:A,2,FALSE),"")</f>
        <v/>
      </c>
      <c r="XDM22"/>
      <c r="XDN22"/>
      <c r="XDO22"/>
    </row>
    <row r="23" spans="1:23 16332:16343" x14ac:dyDescent="0.25">
      <c r="A23" s="5">
        <f ca="1">IF(ISNUMBER(SEARCH(INDIRECT(CELL("address")),Platforma_metis)),MAX(A$1:$A22)+1,0)</f>
        <v>22</v>
      </c>
      <c r="B23" t="s">
        <v>109</v>
      </c>
      <c r="C23" t="s">
        <v>81</v>
      </c>
      <c r="D23" t="s">
        <v>55</v>
      </c>
      <c r="E23" t="s">
        <v>75</v>
      </c>
      <c r="H23" t="s">
        <v>180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DD23" s="6">
        <f ca="1">IF(XDE23=0,"",COUNTIF(A$1:$A23,"&gt;0"))</f>
        <v>22</v>
      </c>
      <c r="XDE23" s="6">
        <f ca="1">IFERROR(SEARCH(INDIRECT(CELL("address")),B:B),0)</f>
        <v>1</v>
      </c>
      <c r="XDF23" s="6" t="str">
        <f ca="1">IFERROR(INDEX(Table_Projects_17[],MATCH(ROW(XDE22),XDG$2:XDG$1048576,0),1),"")</f>
        <v/>
      </c>
      <c r="XDK23" s="6">
        <f ca="1">IF(ISNUMBER(SEARCH(INDIRECT(CELL("address")),Platforma_metis)),MAX(XDK$1:$XDK22)+1,0)</f>
        <v>22</v>
      </c>
      <c r="XDL23" s="6" t="str">
        <f ca="1">IFERROR(VLOOKUP(ROWS($XDK$2:XDK23),A:A,2,FALSE),"")</f>
        <v/>
      </c>
      <c r="XDM23"/>
      <c r="XDN23"/>
      <c r="XDO23"/>
    </row>
    <row r="24" spans="1:23 16332:16343" x14ac:dyDescent="0.25">
      <c r="A24" s="5">
        <f ca="1">IF(ISNUMBER(SEARCH(INDIRECT(CELL("address")),Platforma_metis)),MAX(A$1:$A23)+1,0)</f>
        <v>23</v>
      </c>
      <c r="B24" t="s">
        <v>64</v>
      </c>
      <c r="C24" t="s">
        <v>63</v>
      </c>
      <c r="D24" t="s">
        <v>55</v>
      </c>
      <c r="E24" t="s">
        <v>23</v>
      </c>
      <c r="G24">
        <v>32</v>
      </c>
      <c r="H24" t="s">
        <v>180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DD24" s="6">
        <f ca="1">IF(XDE24=0,"",COUNTIF(A$1:$A24,"&gt;0"))</f>
        <v>23</v>
      </c>
      <c r="XDE24" s="6">
        <f ca="1">IFERROR(SEARCH(INDIRECT(CELL("address")),B:B),0)</f>
        <v>1</v>
      </c>
      <c r="XDF24" s="6" t="str">
        <f ca="1">IFERROR(INDEX(Table_Projects_17[],MATCH(ROW(XDE23),XDG$2:XDG$1048576,0),1),"")</f>
        <v/>
      </c>
      <c r="XDK24" s="6">
        <f ca="1">IF(ISNUMBER(SEARCH(INDIRECT(CELL("address")),Platforma_metis)),MAX(XDK$1:$XDK23)+1,0)</f>
        <v>23</v>
      </c>
      <c r="XDL24" s="6" t="str">
        <f ca="1">IFERROR(VLOOKUP(ROWS($XDK$2:XDK24),A:A,2,FALSE),"")</f>
        <v/>
      </c>
      <c r="XDM24"/>
      <c r="XDN24"/>
      <c r="XDO24"/>
    </row>
    <row r="25" spans="1:23 16332:16343" x14ac:dyDescent="0.25">
      <c r="A25" s="5">
        <f ca="1">IF(ISNUMBER(SEARCH(INDIRECT(CELL("address")),Platforma_metis)),MAX(A$1:$A24)+1,0)</f>
        <v>24</v>
      </c>
      <c r="B25" t="s">
        <v>192</v>
      </c>
      <c r="C25" t="s">
        <v>63</v>
      </c>
      <c r="D25" t="s">
        <v>55</v>
      </c>
      <c r="E25" t="s">
        <v>23</v>
      </c>
      <c r="G25">
        <v>32</v>
      </c>
      <c r="H25" t="s">
        <v>150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 t="s">
        <v>193</v>
      </c>
      <c r="XDD25" s="6">
        <f ca="1">IF(XDE25=0,"",COUNTIF(A$1:$A25,"&gt;0"))</f>
        <v>24</v>
      </c>
      <c r="XDE25" s="6">
        <f ca="1">IFERROR(SEARCH(INDIRECT(CELL("address")),B:B),0)</f>
        <v>1</v>
      </c>
      <c r="XDF25" s="6" t="str">
        <f ca="1">IFERROR(INDEX(Table_Projects_17[],MATCH(ROW(XDE24),XDG$2:XDG$1048576,0),1),"")</f>
        <v/>
      </c>
      <c r="XDK25" s="6">
        <f ca="1">IF(ISNUMBER(SEARCH(INDIRECT(CELL("address")),Platforma_metis)),MAX(XDK$1:$XDK24)+1,0)</f>
        <v>24</v>
      </c>
      <c r="XDL25" s="6" t="str">
        <f ca="1">IFERROR(VLOOKUP(ROWS($XDK$2:XDK25),A:A,2,FALSE),"")</f>
        <v/>
      </c>
      <c r="XDM25"/>
      <c r="XDN25"/>
      <c r="XDO25"/>
    </row>
    <row r="26" spans="1:23 16332:16343" x14ac:dyDescent="0.25">
      <c r="A26" s="5">
        <f ca="1">IF(ISNUMBER(SEARCH(INDIRECT(CELL("address")),Platforma_metis)),MAX(A$1:$A25)+1,0)</f>
        <v>25</v>
      </c>
      <c r="B26" t="s">
        <v>99</v>
      </c>
      <c r="C26" t="s">
        <v>78</v>
      </c>
      <c r="D26" t="s">
        <v>31</v>
      </c>
      <c r="E26" t="s">
        <v>75</v>
      </c>
      <c r="H26" t="s">
        <v>180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DD26" s="6">
        <f ca="1">IF(XDE26=0,"",COUNTIF(A$1:$A26,"&gt;0"))</f>
        <v>25</v>
      </c>
      <c r="XDE26" s="6">
        <f ca="1">IFERROR(SEARCH(INDIRECT(CELL("address")),B:B),0)</f>
        <v>1</v>
      </c>
      <c r="XDF26" s="6" t="str">
        <f ca="1">IFERROR(INDEX(Table_Projects_17[],MATCH(ROW(XDE25),XDG$2:XDG$1048576,0),1),"")</f>
        <v/>
      </c>
      <c r="XDK26" s="6">
        <f ca="1">IF(ISNUMBER(SEARCH(INDIRECT(CELL("address")),Platforma_metis)),MAX(XDK$1:$XDK25)+1,0)</f>
        <v>25</v>
      </c>
      <c r="XDL26" s="6" t="str">
        <f ca="1">IFERROR(VLOOKUP(ROWS($XDK$2:XDK26),A:A,2,FALSE),"")</f>
        <v/>
      </c>
      <c r="XDM26"/>
      <c r="XDN26"/>
      <c r="XDO26"/>
    </row>
    <row r="27" spans="1:23 16332:16343" x14ac:dyDescent="0.25">
      <c r="A27" s="5">
        <f ca="1">IF(ISNUMBER(SEARCH(INDIRECT(CELL("address")),Platforma_metis)),MAX(A$1:$A26)+1,0)</f>
        <v>26</v>
      </c>
      <c r="B27" t="s">
        <v>95</v>
      </c>
      <c r="C27" t="s">
        <v>76</v>
      </c>
      <c r="D27" t="s">
        <v>51</v>
      </c>
      <c r="E27" t="s">
        <v>75</v>
      </c>
      <c r="H27" t="s">
        <v>180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DD27" s="6">
        <f ca="1">IF(XDE27=0,"",COUNTIF(A$1:$A27,"&gt;0"))</f>
        <v>26</v>
      </c>
      <c r="XDE27" s="6">
        <f ca="1">IFERROR(SEARCH(INDIRECT(CELL("address")),B:B),0)</f>
        <v>1</v>
      </c>
      <c r="XDF27" s="6" t="str">
        <f ca="1">IFERROR(INDEX(Table_Projects_17[],MATCH(ROW(XDE26),XDG$2:XDG$1048576,0),1),"")</f>
        <v/>
      </c>
      <c r="XDK27" s="6">
        <f ca="1">IF(ISNUMBER(SEARCH(INDIRECT(CELL("address")),Platforma_metis)),MAX(XDK$1:$XDK26)+1,0)</f>
        <v>26</v>
      </c>
      <c r="XDL27" s="6" t="str">
        <f ca="1">IFERROR(VLOOKUP(ROWS($XDK$2:XDK27),A:A,2,FALSE),"")</f>
        <v/>
      </c>
      <c r="XDM27"/>
      <c r="XDN27"/>
      <c r="XDO27"/>
    </row>
    <row r="28" spans="1:23 16332:16343" x14ac:dyDescent="0.25">
      <c r="A28" s="5">
        <f ca="1">IF(ISNUMBER(SEARCH(INDIRECT(CELL("address")),Platforma_metis)),MAX(A$1:$A27)+1,0)</f>
        <v>27</v>
      </c>
      <c r="B28" t="s">
        <v>111</v>
      </c>
      <c r="C28" t="s">
        <v>82</v>
      </c>
      <c r="D28" t="s">
        <v>55</v>
      </c>
      <c r="E28" t="s">
        <v>75</v>
      </c>
      <c r="H28" t="s">
        <v>180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DD28" s="6">
        <f ca="1">IF(XDE28=0,"",COUNTIF(A$1:$A28,"&gt;0"))</f>
        <v>27</v>
      </c>
      <c r="XDE28" s="6">
        <f ca="1">IFERROR(SEARCH(INDIRECT(CELL("address")),B:B),0)</f>
        <v>1</v>
      </c>
      <c r="XDF28" s="6" t="str">
        <f ca="1">IFERROR(INDEX(Table_Projects_17[],MATCH(ROW(XDE27),XDG$2:XDG$1048576,0),1),"")</f>
        <v/>
      </c>
      <c r="XDK28" s="6">
        <f ca="1">IF(ISNUMBER(SEARCH(INDIRECT(CELL("address")),Platforma_metis)),MAX(XDK$1:$XDK27)+1,0)</f>
        <v>27</v>
      </c>
      <c r="XDL28" s="6" t="str">
        <f ca="1">IFERROR(VLOOKUP(ROWS($XDK$2:XDK28),A:A,2,FALSE),"")</f>
        <v/>
      </c>
      <c r="XDM28"/>
      <c r="XDN28"/>
      <c r="XDO28"/>
    </row>
    <row r="29" spans="1:23 16332:16343" x14ac:dyDescent="0.25">
      <c r="A29" s="5">
        <f ca="1">IF(ISNUMBER(SEARCH(INDIRECT(CELL("address")),Platforma_metis)),MAX(A$1:$A28)+1,0)</f>
        <v>28</v>
      </c>
      <c r="B29" t="s">
        <v>124</v>
      </c>
      <c r="C29" t="s">
        <v>89</v>
      </c>
      <c r="D29" t="s">
        <v>33</v>
      </c>
      <c r="E29" t="s">
        <v>75</v>
      </c>
      <c r="H29" t="s">
        <v>180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DD29" s="6">
        <f ca="1">IF(XDE29=0,"",COUNTIF(A$1:$A29,"&gt;0"))</f>
        <v>28</v>
      </c>
      <c r="XDE29" s="6">
        <f ca="1">IFERROR(SEARCH(INDIRECT(CELL("address")),B:B),0)</f>
        <v>1</v>
      </c>
      <c r="XDF29" s="6" t="str">
        <f ca="1">IFERROR(INDEX(Table_Projects_17[],MATCH(ROW(XDE28),XDG$2:XDG$1048576,0),1),"")</f>
        <v/>
      </c>
      <c r="XDK29" s="6">
        <f ca="1">IF(ISNUMBER(SEARCH(INDIRECT(CELL("address")),Platforma_metis)),MAX(XDK$1:$XDK28)+1,0)</f>
        <v>28</v>
      </c>
      <c r="XDL29" s="6" t="str">
        <f ca="1">IFERROR(VLOOKUP(ROWS($XDK$2:XDK29),A:A,2,FALSE),"")</f>
        <v/>
      </c>
      <c r="XDM29"/>
      <c r="XDN29"/>
      <c r="XDO29"/>
    </row>
    <row r="30" spans="1:23 16332:16343" x14ac:dyDescent="0.25">
      <c r="A30" s="5">
        <f ca="1">IF(ISNUMBER(SEARCH(INDIRECT(CELL("address")),Platforma_metis)),MAX(A$1:$A29)+1,0)</f>
        <v>29</v>
      </c>
      <c r="B30" t="s">
        <v>98</v>
      </c>
      <c r="C30" t="s">
        <v>29</v>
      </c>
      <c r="D30" t="s">
        <v>28</v>
      </c>
      <c r="E30" t="s">
        <v>23</v>
      </c>
      <c r="G30">
        <v>5</v>
      </c>
      <c r="H30" t="s">
        <v>180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DD30" s="6">
        <f ca="1">IF(XDE30=0,"",COUNTIF(A$1:$A30,"&gt;0"))</f>
        <v>29</v>
      </c>
      <c r="XDE30" s="6">
        <f ca="1">IFERROR(SEARCH(INDIRECT(CELL("address")),B:B),0)</f>
        <v>1</v>
      </c>
      <c r="XDF30" s="6" t="str">
        <f ca="1">IFERROR(INDEX(Table_Projects_17[],MATCH(ROW(XDE29),XDG$2:XDG$1048576,0),1),"")</f>
        <v/>
      </c>
      <c r="XDK30" s="6">
        <f ca="1">IF(ISNUMBER(SEARCH(INDIRECT(CELL("address")),Platforma_metis)),MAX(XDK$1:$XDK29)+1,0)</f>
        <v>29</v>
      </c>
      <c r="XDL30" s="6" t="str">
        <f ca="1">IFERROR(VLOOKUP(ROWS($XDK$2:XDK30),A:A,2,FALSE),"")</f>
        <v/>
      </c>
      <c r="XDM30"/>
      <c r="XDN30"/>
      <c r="XDO30"/>
    </row>
    <row r="31" spans="1:23 16332:16343" x14ac:dyDescent="0.25">
      <c r="A31" s="5">
        <f ca="1">IF(ISNUMBER(SEARCH(INDIRECT(CELL("address")),Platforma_metis)),MAX(A$1:$A30)+1,0)</f>
        <v>30</v>
      </c>
      <c r="B31" t="s">
        <v>113</v>
      </c>
      <c r="C31" t="s">
        <v>84</v>
      </c>
      <c r="D31" t="s">
        <v>55</v>
      </c>
      <c r="E31" t="s">
        <v>75</v>
      </c>
      <c r="H31" t="s">
        <v>180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DD31" s="6">
        <f ca="1">IF(XDE31=0,"",COUNTIF(A$1:$A31,"&gt;0"))</f>
        <v>30</v>
      </c>
      <c r="XDE31" s="6">
        <f ca="1">IFERROR(SEARCH(INDIRECT(CELL("address")),B:B),0)</f>
        <v>1</v>
      </c>
      <c r="XDF31" s="6" t="str">
        <f ca="1">IFERROR(INDEX(Table_Projects_17[],MATCH(ROW(XDE30),XDG$2:XDG$1048576,0),1),"")</f>
        <v/>
      </c>
      <c r="XDK31" s="6">
        <f ca="1">IF(ISNUMBER(SEARCH(INDIRECT(CELL("address")),Platforma_metis)),MAX(XDK$1:$XDK30)+1,0)</f>
        <v>30</v>
      </c>
      <c r="XDL31" s="6" t="str">
        <f ca="1">IFERROR(VLOOKUP(ROWS($XDK$2:XDK31),A:A,2,FALSE),"")</f>
        <v/>
      </c>
      <c r="XDM31"/>
      <c r="XDN31"/>
      <c r="XDO31"/>
    </row>
    <row r="32" spans="1:23 16332:16343" x14ac:dyDescent="0.25">
      <c r="A32" s="5">
        <f ca="1">IF(ISNUMBER(SEARCH(INDIRECT(CELL("address")),Platforma_metis)),MAX(A$1:$A31)+1,0)</f>
        <v>31</v>
      </c>
      <c r="B32" t="s">
        <v>112</v>
      </c>
      <c r="C32" t="s">
        <v>83</v>
      </c>
      <c r="D32" t="s">
        <v>55</v>
      </c>
      <c r="E32" t="s">
        <v>75</v>
      </c>
      <c r="H32" t="s">
        <v>180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DD32" s="6">
        <f ca="1">IF(XDE32=0,"",COUNTIF(A$1:$A32,"&gt;0"))</f>
        <v>31</v>
      </c>
      <c r="XDE32" s="6">
        <f ca="1">IFERROR(SEARCH(INDIRECT(CELL("address")),B:B),0)</f>
        <v>1</v>
      </c>
      <c r="XDF32" s="6" t="str">
        <f ca="1">IFERROR(INDEX(Table_Projects_17[],MATCH(ROW(XDE31),XDG$2:XDG$1048576,0),1),"")</f>
        <v/>
      </c>
      <c r="XDK32" s="6">
        <f ca="1">IF(ISNUMBER(SEARCH(INDIRECT(CELL("address")),Platforma_metis)),MAX(XDK$1:$XDK31)+1,0)</f>
        <v>31</v>
      </c>
      <c r="XDL32" s="6" t="str">
        <f ca="1">IFERROR(VLOOKUP(ROWS($XDK$2:XDK32),A:A,2,FALSE),"")</f>
        <v/>
      </c>
      <c r="XDM32"/>
      <c r="XDN32"/>
      <c r="XDO32"/>
    </row>
    <row r="33" spans="1:23 16332:16343" x14ac:dyDescent="0.25">
      <c r="A33" s="5">
        <f ca="1">IF(ISNUMBER(SEARCH(INDIRECT(CELL("address")),Platforma_metis)),MAX(A$1:$A32)+1,0)</f>
        <v>32</v>
      </c>
      <c r="B33" t="s">
        <v>114</v>
      </c>
      <c r="C33" t="s">
        <v>85</v>
      </c>
      <c r="D33" t="s">
        <v>55</v>
      </c>
      <c r="E33" t="s">
        <v>75</v>
      </c>
      <c r="H33" t="s">
        <v>180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DD33" s="6">
        <f ca="1">IF(XDE33=0,"",COUNTIF(A$1:$A33,"&gt;0"))</f>
        <v>32</v>
      </c>
      <c r="XDE33" s="6">
        <f ca="1">IFERROR(SEARCH(INDIRECT(CELL("address")),B:B),0)</f>
        <v>1</v>
      </c>
      <c r="XDF33" s="6" t="str">
        <f ca="1">IFERROR(INDEX(Table_Projects_17[],MATCH(ROW(XDE32),XDG$2:XDG$1048576,0),1),"")</f>
        <v/>
      </c>
      <c r="XDK33" s="6">
        <f ca="1">IF(ISNUMBER(SEARCH(INDIRECT(CELL("address")),Platforma_metis)),MAX(XDK$1:$XDK32)+1,0)</f>
        <v>32</v>
      </c>
      <c r="XDL33" s="6" t="str">
        <f ca="1">IFERROR(VLOOKUP(ROWS($XDK$2:XDK33),A:A,2,FALSE),"")</f>
        <v/>
      </c>
      <c r="XDM33"/>
      <c r="XDN33"/>
      <c r="XDO33"/>
    </row>
    <row r="34" spans="1:23 16332:16343" x14ac:dyDescent="0.25">
      <c r="A34" s="5">
        <f ca="1">IF(ISNUMBER(SEARCH(INDIRECT(CELL("address")),Platforma_metis)),MAX(A$1:$A33)+1,0)</f>
        <v>33</v>
      </c>
      <c r="B34" t="s">
        <v>135</v>
      </c>
      <c r="C34" t="s">
        <v>65</v>
      </c>
      <c r="D34" t="s">
        <v>55</v>
      </c>
      <c r="E34" t="s">
        <v>25</v>
      </c>
      <c r="G34">
        <v>33</v>
      </c>
      <c r="H34" t="s">
        <v>180</v>
      </c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DD34" s="6">
        <f ca="1">IF(XDE34=0,"",COUNTIF(A$1:$A34,"&gt;0"))</f>
        <v>33</v>
      </c>
      <c r="XDE34" s="6">
        <f ca="1">IFERROR(SEARCH(INDIRECT(CELL("address")),B:B),0)</f>
        <v>1</v>
      </c>
      <c r="XDF34" s="6" t="str">
        <f ca="1">IFERROR(INDEX(Table_Projects_17[],MATCH(ROW(XDE33),XDG$2:XDG$1048576,0),1),"")</f>
        <v/>
      </c>
      <c r="XDK34" s="6">
        <f ca="1">IF(ISNUMBER(SEARCH(INDIRECT(CELL("address")),Platforma_metis)),MAX(XDK$1:$XDK33)+1,0)</f>
        <v>33</v>
      </c>
      <c r="XDL34" s="6" t="str">
        <f ca="1">IFERROR(VLOOKUP(ROWS($XDK$2:XDK34),A:A,2,FALSE),"")</f>
        <v/>
      </c>
      <c r="XDM34"/>
      <c r="XDN34"/>
      <c r="XDO34"/>
    </row>
    <row r="35" spans="1:23 16332:16343" x14ac:dyDescent="0.25">
      <c r="A35" s="5">
        <f ca="1">IF(ISNUMBER(SEARCH(INDIRECT(CELL("address")),Platforma_metis)),MAX(A$1:$A34)+1,0)</f>
        <v>34</v>
      </c>
      <c r="B35" t="s">
        <v>70</v>
      </c>
      <c r="C35" t="s">
        <v>52</v>
      </c>
      <c r="D35" t="s">
        <v>51</v>
      </c>
      <c r="E35" t="s">
        <v>25</v>
      </c>
      <c r="H35" t="s">
        <v>180</v>
      </c>
      <c r="I35" s="3"/>
      <c r="J35" s="3"/>
      <c r="K35" s="3"/>
      <c r="L35" s="3"/>
      <c r="M35" s="3"/>
      <c r="N35" s="3"/>
      <c r="O35" s="3">
        <v>43398</v>
      </c>
      <c r="P35" s="3">
        <v>43426</v>
      </c>
      <c r="Q35" s="3">
        <v>43594</v>
      </c>
      <c r="R35" s="3">
        <v>43783</v>
      </c>
      <c r="S35" s="3">
        <v>43761</v>
      </c>
      <c r="T35" s="3">
        <v>44172</v>
      </c>
      <c r="U35" s="3">
        <v>44233</v>
      </c>
      <c r="V35" s="3">
        <v>44433</v>
      </c>
      <c r="W35" s="3"/>
      <c r="XDD35" s="6">
        <f ca="1">IF(XDE35=0,"",COUNTIF(A$1:$A35,"&gt;0"))</f>
        <v>34</v>
      </c>
      <c r="XDE35" s="6">
        <f ca="1">IFERROR(SEARCH(INDIRECT(CELL("address")),B:B),0)</f>
        <v>1</v>
      </c>
      <c r="XDF35" s="6" t="str">
        <f ca="1">IFERROR(INDEX(Table_Projects_17[],MATCH(ROW(XDE34),XDG$2:XDG$1048576,0),1),"")</f>
        <v/>
      </c>
      <c r="XDK35" s="6">
        <f ca="1">IF(ISNUMBER(SEARCH(INDIRECT(CELL("address")),Platforma_metis)),MAX(XDK$1:$XDK34)+1,0)</f>
        <v>34</v>
      </c>
      <c r="XDL35" s="6" t="str">
        <f ca="1">IFERROR(VLOOKUP(ROWS($XDK$2:XDK35),A:A,2,FALSE),"")</f>
        <v/>
      </c>
      <c r="XDM35"/>
      <c r="XDN35"/>
      <c r="XDO35"/>
    </row>
    <row r="36" spans="1:23 16332:16343" x14ac:dyDescent="0.25">
      <c r="A36" s="5">
        <f ca="1">IF(ISNUMBER(SEARCH(INDIRECT(CELL("address")),Platforma_metis)),MAX(A$1:$A35)+1,0)</f>
        <v>35</v>
      </c>
      <c r="B36" t="s">
        <v>194</v>
      </c>
      <c r="C36" t="s">
        <v>52</v>
      </c>
      <c r="D36" t="s">
        <v>51</v>
      </c>
      <c r="E36" t="s">
        <v>25</v>
      </c>
      <c r="G36">
        <v>22</v>
      </c>
      <c r="H36" t="s">
        <v>180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DD36" s="6">
        <f ca="1">IF(XDE36=0,"",COUNTIF(A$1:$A36,"&gt;0"))</f>
        <v>35</v>
      </c>
      <c r="XDE36" s="6">
        <f ca="1">IFERROR(SEARCH(INDIRECT(CELL("address")),B:B),0)</f>
        <v>1</v>
      </c>
      <c r="XDF36" s="6" t="str">
        <f ca="1">IFERROR(INDEX(Table_Projects_17[],MATCH(ROW(XDE35),XDG$2:XDG$1048576,0),1),"")</f>
        <v/>
      </c>
      <c r="XDK36" s="6">
        <f ca="1">IF(ISNUMBER(SEARCH(INDIRECT(CELL("address")),Platforma_metis)),MAX(XDK$1:$XDK35)+1,0)</f>
        <v>35</v>
      </c>
      <c r="XDL36" s="6" t="str">
        <f ca="1">IFERROR(VLOOKUP(ROWS($XDK$2:XDK36),A:A,2,FALSE),"")</f>
        <v/>
      </c>
      <c r="XDM36"/>
      <c r="XDN36"/>
      <c r="XDO36"/>
    </row>
    <row r="37" spans="1:23 16332:16343" x14ac:dyDescent="0.25">
      <c r="A37" s="5">
        <f ca="1">IF(ISNUMBER(SEARCH(INDIRECT(CELL("address")),Platforma_metis)),MAX(A$1:$A36)+1,0)</f>
        <v>36</v>
      </c>
      <c r="B37" t="s">
        <v>195</v>
      </c>
      <c r="C37" t="s">
        <v>196</v>
      </c>
      <c r="D37" t="s">
        <v>197</v>
      </c>
      <c r="E37" t="s">
        <v>25</v>
      </c>
      <c r="H37" t="s">
        <v>180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DD37" s="6">
        <f ca="1">IF(XDE37=0,"",COUNTIF(A$1:$A37,"&gt;0"))</f>
        <v>36</v>
      </c>
      <c r="XDE37" s="6">
        <f ca="1">IFERROR(SEARCH(INDIRECT(CELL("address")),B:B),0)</f>
        <v>1</v>
      </c>
      <c r="XDF37" s="6" t="str">
        <f ca="1">IFERROR(INDEX(Table_Projects_17[],MATCH(ROW(XDE36),XDG$2:XDG$1048576,0),1),"")</f>
        <v/>
      </c>
      <c r="XDK37" s="6">
        <f ca="1">IF(ISNUMBER(SEARCH(INDIRECT(CELL("address")),Platforma_metis)),MAX(XDK$1:$XDK36)+1,0)</f>
        <v>36</v>
      </c>
      <c r="XDL37" s="6" t="str">
        <f ca="1">IFERROR(VLOOKUP(ROWS($XDK$2:XDK37),A:A,2,FALSE),"")</f>
        <v/>
      </c>
      <c r="XDM37"/>
      <c r="XDN37"/>
      <c r="XDO37"/>
    </row>
    <row r="38" spans="1:23 16332:16343" x14ac:dyDescent="0.25">
      <c r="A38" s="5">
        <f ca="1">IF(ISNUMBER(SEARCH(INDIRECT(CELL("address")),Platforma_metis)),MAX(A$1:$A37)+1,0)</f>
        <v>37</v>
      </c>
      <c r="B38" t="s">
        <v>69</v>
      </c>
      <c r="C38" t="s">
        <v>34</v>
      </c>
      <c r="D38" t="s">
        <v>33</v>
      </c>
      <c r="E38" t="s">
        <v>25</v>
      </c>
      <c r="H38" t="s">
        <v>149</v>
      </c>
      <c r="I38" s="3"/>
      <c r="J38" s="3"/>
      <c r="K38" s="3">
        <v>43889</v>
      </c>
      <c r="L38" s="3">
        <v>43889</v>
      </c>
      <c r="M38" s="3">
        <v>43924</v>
      </c>
      <c r="N38" s="3">
        <v>43945</v>
      </c>
      <c r="O38" s="3">
        <v>43980</v>
      </c>
      <c r="P38" s="3">
        <v>43994</v>
      </c>
      <c r="Q38" s="3">
        <v>44008</v>
      </c>
      <c r="R38" s="3">
        <v>44050</v>
      </c>
      <c r="S38" s="3">
        <v>44211</v>
      </c>
      <c r="T38" s="3">
        <v>44253</v>
      </c>
      <c r="U38" s="3">
        <v>44407</v>
      </c>
      <c r="V38" s="3">
        <v>44526</v>
      </c>
      <c r="W38" s="3"/>
      <c r="XDD38" s="6">
        <f ca="1">IF(XDE38=0,"",COUNTIF(A$1:$A38,"&gt;0"))</f>
        <v>37</v>
      </c>
      <c r="XDE38" s="6">
        <f ca="1">IFERROR(SEARCH(INDIRECT(CELL("address")),B:B),0)</f>
        <v>1</v>
      </c>
      <c r="XDF38" s="6" t="str">
        <f ca="1">IFERROR(INDEX(Table_Projects_17[],MATCH(ROW(XDE37),XDG$2:XDG$1048576,0),1),"")</f>
        <v/>
      </c>
      <c r="XDK38" s="6">
        <f ca="1">IF(ISNUMBER(SEARCH(INDIRECT(CELL("address")),Platforma_metis)),MAX(XDK$1:$XDK37)+1,0)</f>
        <v>37</v>
      </c>
      <c r="XDL38" s="6" t="str">
        <f ca="1">IFERROR(VLOOKUP(ROWS($XDK$2:XDK38),A:A,2,FALSE),"")</f>
        <v/>
      </c>
      <c r="XDM38"/>
      <c r="XDN38"/>
      <c r="XDO38"/>
    </row>
    <row r="39" spans="1:23 16332:16343" x14ac:dyDescent="0.25">
      <c r="A39" s="5">
        <f ca="1">IF(ISNUMBER(SEARCH(INDIRECT(CELL("address")),Platforma_metis)),MAX(A$1:$A38)+1,0)</f>
        <v>38</v>
      </c>
      <c r="B39" t="s">
        <v>102</v>
      </c>
      <c r="C39" t="s">
        <v>34</v>
      </c>
      <c r="D39" t="s">
        <v>33</v>
      </c>
      <c r="E39" t="s">
        <v>23</v>
      </c>
      <c r="G39">
        <v>8</v>
      </c>
      <c r="H39" t="s">
        <v>180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DD39" s="6">
        <f ca="1">IF(XDE39=0,"",COUNTIF(A$1:$A39,"&gt;0"))</f>
        <v>38</v>
      </c>
      <c r="XDE39" s="6">
        <f ca="1">IFERROR(SEARCH(INDIRECT(CELL("address")),B:B),0)</f>
        <v>1</v>
      </c>
      <c r="XDF39" s="6" t="str">
        <f ca="1">IFERROR(INDEX(Table_Projects_17[],MATCH(ROW(XDE38),XDG$2:XDG$1048576,0),1),"")</f>
        <v/>
      </c>
      <c r="XDK39" s="6">
        <f ca="1">IF(ISNUMBER(SEARCH(INDIRECT(CELL("address")),Platforma_metis)),MAX(XDK$1:$XDK38)+1,0)</f>
        <v>38</v>
      </c>
      <c r="XDL39" s="6" t="str">
        <f ca="1">IFERROR(VLOOKUP(ROWS($XDK$2:XDK39),A:A,2,FALSE),"")</f>
        <v/>
      </c>
      <c r="XDM39"/>
      <c r="XDN39"/>
      <c r="XDO39"/>
    </row>
    <row r="40" spans="1:23 16332:16343" x14ac:dyDescent="0.25">
      <c r="A40" s="5">
        <f ca="1">IF(ISNUMBER(SEARCH(INDIRECT(CELL("address")),Platforma_metis)),MAX(A$1:$A39)+1,0)</f>
        <v>39</v>
      </c>
      <c r="B40" t="s">
        <v>116</v>
      </c>
      <c r="C40" t="s">
        <v>86</v>
      </c>
      <c r="D40" t="s">
        <v>55</v>
      </c>
      <c r="E40" t="s">
        <v>75</v>
      </c>
      <c r="H40" t="s">
        <v>180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DD40" s="6">
        <f ca="1">IF(XDE40=0,"",COUNTIF(A$1:$A40,"&gt;0"))</f>
        <v>39</v>
      </c>
      <c r="XDE40" s="6">
        <f ca="1">IFERROR(SEARCH(INDIRECT(CELL("address")),B:B),0)</f>
        <v>1</v>
      </c>
      <c r="XDF40" s="6" t="str">
        <f ca="1">IFERROR(INDEX(Table_Projects_17[],MATCH(ROW(XDE39),XDG$2:XDG$1048576,0),1),"")</f>
        <v/>
      </c>
      <c r="XDK40" s="6">
        <f ca="1">IF(ISNUMBER(SEARCH(INDIRECT(CELL("address")),Platforma_metis)),MAX(XDK$1:$XDK39)+1,0)</f>
        <v>39</v>
      </c>
      <c r="XDL40" s="6" t="str">
        <f ca="1">IFERROR(VLOOKUP(ROWS($XDK$2:XDK40),A:A,2,FALSE),"")</f>
        <v/>
      </c>
      <c r="XDM40"/>
      <c r="XDN40"/>
      <c r="XDO40"/>
    </row>
    <row r="41" spans="1:23 16332:16343" x14ac:dyDescent="0.25">
      <c r="A41" s="5">
        <f ca="1">IF(ISNUMBER(SEARCH(INDIRECT(CELL("address")),Platforma_metis)),MAX(A$1:$A40)+1,0)</f>
        <v>40</v>
      </c>
      <c r="B41" t="s">
        <v>92</v>
      </c>
      <c r="C41" t="s">
        <v>24</v>
      </c>
      <c r="D41" t="s">
        <v>21</v>
      </c>
      <c r="E41" t="s">
        <v>25</v>
      </c>
      <c r="G41">
        <v>2</v>
      </c>
      <c r="H41" t="s">
        <v>180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DD41" s="6">
        <f ca="1">IF(XDE41=0,"",COUNTIF(A$1:$A41,"&gt;0"))</f>
        <v>40</v>
      </c>
      <c r="XDE41" s="6">
        <f ca="1">IFERROR(SEARCH(INDIRECT(CELL("address")),B:B),0)</f>
        <v>1</v>
      </c>
      <c r="XDF41" s="6" t="str">
        <f ca="1">IFERROR(INDEX(Table_Projects_17[],MATCH(ROW(XDE40),XDG$2:XDG$1048576,0),1),"")</f>
        <v/>
      </c>
      <c r="XDK41" s="6">
        <f ca="1">IF(ISNUMBER(SEARCH(INDIRECT(CELL("address")),Platforma_metis)),MAX(XDK$1:$XDK40)+1,0)</f>
        <v>40</v>
      </c>
      <c r="XDL41" s="6" t="str">
        <f ca="1">IFERROR(VLOOKUP(ROWS($XDK$2:XDK41),A:A,2,FALSE),"")</f>
        <v/>
      </c>
      <c r="XDM41"/>
      <c r="XDN41"/>
      <c r="XDO41"/>
    </row>
    <row r="42" spans="1:23 16332:16343" x14ac:dyDescent="0.25">
      <c r="A42" s="5">
        <f ca="1">IF(ISNUMBER(SEARCH(INDIRECT(CELL("address")),Platforma_metis)),MAX(A$1:$A41)+1,0)</f>
        <v>41</v>
      </c>
      <c r="B42" t="s">
        <v>177</v>
      </c>
      <c r="C42" t="s">
        <v>24</v>
      </c>
      <c r="D42" t="s">
        <v>71</v>
      </c>
      <c r="E42" t="s">
        <v>25</v>
      </c>
      <c r="H42" t="s">
        <v>180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DD42" s="6">
        <f ca="1">IF(XDE42=0,"",COUNTIF(A$1:$A42,"&gt;0"))</f>
        <v>41</v>
      </c>
      <c r="XDE42" s="6">
        <f ca="1">IFERROR(SEARCH(INDIRECT(CELL("address")),B:B),0)</f>
        <v>1</v>
      </c>
      <c r="XDF42" s="6" t="str">
        <f ca="1">IFERROR(INDEX(Table_Projects_17[],MATCH(ROW(XDE41),XDG$2:XDG$1048576,0),1),"")</f>
        <v/>
      </c>
      <c r="XDK42" s="6">
        <f ca="1">IF(ISNUMBER(SEARCH(INDIRECT(CELL("address")),Platforma_metis)),MAX(XDK$1:$XDK41)+1,0)</f>
        <v>41</v>
      </c>
      <c r="XDL42" s="6" t="str">
        <f ca="1">IFERROR(VLOOKUP(ROWS($XDK$2:XDK42),A:A,2,FALSE),"")</f>
        <v/>
      </c>
      <c r="XDM42"/>
      <c r="XDN42"/>
      <c r="XDO42"/>
    </row>
    <row r="43" spans="1:23 16332:16343" x14ac:dyDescent="0.25">
      <c r="A43" s="5">
        <f ca="1">IF(ISNUMBER(SEARCH(INDIRECT(CELL("address")),Platforma_metis)),MAX(A$1:$A42)+1,0)</f>
        <v>42</v>
      </c>
      <c r="B43" t="s">
        <v>198</v>
      </c>
      <c r="C43" t="s">
        <v>79</v>
      </c>
      <c r="D43" t="s">
        <v>31</v>
      </c>
      <c r="E43" t="s">
        <v>75</v>
      </c>
      <c r="H43" t="s">
        <v>180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DD43" s="6">
        <f ca="1">IF(XDE43=0,"",COUNTIF(A$1:$A43,"&gt;0"))</f>
        <v>42</v>
      </c>
      <c r="XDE43" s="6">
        <f ca="1">IFERROR(SEARCH(INDIRECT(CELL("address")),B:B),0)</f>
        <v>1</v>
      </c>
      <c r="XDF43" s="6" t="str">
        <f ca="1">IFERROR(INDEX(Table_Projects_17[],MATCH(ROW(XDE42),XDG$2:XDG$1048576,0),1),"")</f>
        <v/>
      </c>
      <c r="XDK43" s="6">
        <f ca="1">IF(ISNUMBER(SEARCH(INDIRECT(CELL("address")),Platforma_metis)),MAX(XDK$1:$XDK42)+1,0)</f>
        <v>42</v>
      </c>
      <c r="XDL43" s="6" t="str">
        <f ca="1">IFERROR(VLOOKUP(ROWS($XDK$2:XDK43),A:A,2,FALSE),"")</f>
        <v/>
      </c>
      <c r="XDM43"/>
      <c r="XDN43"/>
      <c r="XDO43"/>
    </row>
    <row r="44" spans="1:23 16332:16343" x14ac:dyDescent="0.25">
      <c r="A44" s="5">
        <f ca="1">IF(ISNUMBER(SEARCH(INDIRECT(CELL("address")),Platforma_metis)),MAX(A$1:$A43)+1,0)</f>
        <v>43</v>
      </c>
      <c r="B44" t="s">
        <v>123</v>
      </c>
      <c r="C44" t="s">
        <v>48</v>
      </c>
      <c r="D44" t="s">
        <v>21</v>
      </c>
      <c r="E44" t="s">
        <v>23</v>
      </c>
      <c r="G44">
        <v>20</v>
      </c>
      <c r="H44" t="s">
        <v>180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DD44" s="6">
        <f ca="1">IF(XDE44=0,"",COUNTIF(A$1:$A44,"&gt;0"))</f>
        <v>43</v>
      </c>
      <c r="XDE44" s="6">
        <f ca="1">IFERROR(SEARCH(INDIRECT(CELL("address")),B:B),0)</f>
        <v>1</v>
      </c>
      <c r="XDF44" s="6" t="str">
        <f ca="1">IFERROR(INDEX(Table_Projects_17[],MATCH(ROW(XDE43),XDG$2:XDG$1048576,0),1),"")</f>
        <v/>
      </c>
      <c r="XDK44" s="6">
        <f ca="1">IF(ISNUMBER(SEARCH(INDIRECT(CELL("address")),Platforma_metis)),MAX(XDK$1:$XDK43)+1,0)</f>
        <v>43</v>
      </c>
      <c r="XDL44" s="6" t="str">
        <f ca="1">IFERROR(VLOOKUP(ROWS($XDK$2:XDK44),A:A,2,FALSE),"")</f>
        <v/>
      </c>
      <c r="XDM44"/>
      <c r="XDN44"/>
      <c r="XDO44"/>
    </row>
    <row r="45" spans="1:23 16332:16343" x14ac:dyDescent="0.25">
      <c r="A45" s="5">
        <f ca="1">IF(ISNUMBER(SEARCH(INDIRECT(CELL("address")),Platforma_metis)),MAX(A$1:$A44)+1,0)</f>
        <v>44</v>
      </c>
      <c r="B45" t="s">
        <v>104</v>
      </c>
      <c r="C45" t="s">
        <v>38</v>
      </c>
      <c r="D45" t="s">
        <v>36</v>
      </c>
      <c r="E45" t="s">
        <v>23</v>
      </c>
      <c r="G45">
        <v>11</v>
      </c>
      <c r="H45" t="s">
        <v>180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DD45" s="6">
        <f ca="1">IF(XDE45=0,"",COUNTIF(A$1:$A45,"&gt;0"))</f>
        <v>44</v>
      </c>
      <c r="XDE45" s="6">
        <f ca="1">IFERROR(SEARCH(INDIRECT(CELL("address")),B:B),0)</f>
        <v>1</v>
      </c>
      <c r="XDF45" s="6" t="str">
        <f ca="1">IFERROR(INDEX(Table_Projects_17[],MATCH(ROW(XDE44),XDG$2:XDG$1048576,0),1),"")</f>
        <v/>
      </c>
      <c r="XDK45" s="6">
        <f ca="1">IF(ISNUMBER(SEARCH(INDIRECT(CELL("address")),Platforma_metis)),MAX(XDK$1:$XDK44)+1,0)</f>
        <v>44</v>
      </c>
      <c r="XDL45" s="6" t="str">
        <f ca="1">IFERROR(VLOOKUP(ROWS($XDK$2:XDK45),A:A,2,FALSE),"")</f>
        <v/>
      </c>
      <c r="XDM45"/>
      <c r="XDN45"/>
      <c r="XDO45"/>
    </row>
    <row r="46" spans="1:23 16332:16343" x14ac:dyDescent="0.25">
      <c r="A46" s="5">
        <f ca="1">IF(ISNUMBER(SEARCH(INDIRECT(CELL("address")),Platforma_metis)),MAX(A$1:$A45)+1,0)</f>
        <v>45</v>
      </c>
      <c r="B46" t="s">
        <v>136</v>
      </c>
      <c r="C46" t="s">
        <v>66</v>
      </c>
      <c r="D46" t="s">
        <v>55</v>
      </c>
      <c r="E46" t="s">
        <v>23</v>
      </c>
      <c r="G46">
        <v>34</v>
      </c>
      <c r="H46" t="s">
        <v>180</v>
      </c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DD46" s="6">
        <f ca="1">IF(XDE46=0,"",COUNTIF(A$1:$A46,"&gt;0"))</f>
        <v>45</v>
      </c>
      <c r="XDE46" s="6">
        <f ca="1">IFERROR(SEARCH(INDIRECT(CELL("address")),B:B),0)</f>
        <v>1</v>
      </c>
      <c r="XDF46" s="6" t="str">
        <f ca="1">IFERROR(INDEX(Table_Projects_17[],MATCH(ROW(XDE45),XDG$2:XDG$1048576,0),1),"")</f>
        <v/>
      </c>
      <c r="XDK46" s="6">
        <f ca="1">IF(ISNUMBER(SEARCH(INDIRECT(CELL("address")),Platforma_metis)),MAX(XDK$1:$XDK45)+1,0)</f>
        <v>45</v>
      </c>
      <c r="XDL46" s="6" t="str">
        <f ca="1">IFERROR(VLOOKUP(ROWS($XDK$2:XDK46),A:A,2,FALSE),"")</f>
        <v/>
      </c>
      <c r="XDM46"/>
      <c r="XDN46"/>
      <c r="XDO46"/>
    </row>
    <row r="47" spans="1:23 16332:16343" x14ac:dyDescent="0.25">
      <c r="A47" s="5">
        <f ca="1">IF(ISNUMBER(SEARCH(INDIRECT(CELL("address")),Platforma_metis)),MAX(A$1:$A46)+1,0)</f>
        <v>46</v>
      </c>
      <c r="B47" t="s">
        <v>91</v>
      </c>
      <c r="C47" t="s">
        <v>22</v>
      </c>
      <c r="D47" t="s">
        <v>21</v>
      </c>
      <c r="E47" t="s">
        <v>23</v>
      </c>
      <c r="G47">
        <v>1</v>
      </c>
      <c r="H47" t="s">
        <v>180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DD47" s="6">
        <f ca="1">IF(XDE47=0,"",COUNTIF(A$1:$A47,"&gt;0"))</f>
        <v>46</v>
      </c>
      <c r="XDE47" s="6">
        <f ca="1">IFERROR(SEARCH(INDIRECT(CELL("address")),B:B),0)</f>
        <v>1</v>
      </c>
      <c r="XDF47" s="6" t="str">
        <f ca="1">IFERROR(INDEX(Table_Projects_17[],MATCH(ROW(XDE46),XDG$2:XDG$1048576,0),1),"")</f>
        <v/>
      </c>
      <c r="XDK47" s="6">
        <f ca="1">IF(ISNUMBER(SEARCH(INDIRECT(CELL("address")),Platforma_metis)),MAX(XDK$1:$XDK46)+1,0)</f>
        <v>46</v>
      </c>
      <c r="XDL47" s="6" t="str">
        <f ca="1">IFERROR(VLOOKUP(ROWS($XDK$2:XDK47),A:A,2,FALSE),"")</f>
        <v/>
      </c>
      <c r="XDM47"/>
      <c r="XDN47"/>
      <c r="XDO47"/>
    </row>
    <row r="48" spans="1:23 16332:16343" x14ac:dyDescent="0.25">
      <c r="A48" s="5">
        <f ca="1">IF(ISNUMBER(SEARCH(INDIRECT(CELL("address")),Platforma_metis)),MAX(A$1:$A47)+1,0)</f>
        <v>47</v>
      </c>
      <c r="B48" t="s">
        <v>118</v>
      </c>
      <c r="C48" t="s">
        <v>87</v>
      </c>
      <c r="D48" t="s">
        <v>55</v>
      </c>
      <c r="E48" t="s">
        <v>75</v>
      </c>
      <c r="H48" t="s">
        <v>180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DD48" s="6">
        <f ca="1">IF(XDE48=0,"",COUNTIF(A$1:$A48,"&gt;0"))</f>
        <v>47</v>
      </c>
      <c r="XDE48" s="6">
        <f ca="1">IFERROR(SEARCH(INDIRECT(CELL("address")),B:B),0)</f>
        <v>1</v>
      </c>
      <c r="XDF48" s="6" t="str">
        <f ca="1">IFERROR(INDEX(Table_Projects_17[],MATCH(ROW(XDE47),XDG$2:XDG$1048576,0),1),"")</f>
        <v/>
      </c>
      <c r="XDK48" s="6">
        <f ca="1">IF(ISNUMBER(SEARCH(INDIRECT(CELL("address")),Platforma_metis)),MAX(XDK$1:$XDK47)+1,0)</f>
        <v>47</v>
      </c>
      <c r="XDL48" s="6" t="str">
        <f ca="1">IFERROR(VLOOKUP(ROWS($XDK$2:XDK48),A:A,2,FALSE),"")</f>
        <v/>
      </c>
      <c r="XDM48"/>
      <c r="XDN48"/>
      <c r="XDO48"/>
    </row>
    <row r="49" spans="1:23 16332:16343" x14ac:dyDescent="0.25">
      <c r="A49" s="5">
        <f ca="1">IF(ISNUMBER(SEARCH(INDIRECT(CELL("address")),Platforma_metis)),MAX(A$1:$A48)+1,0)</f>
        <v>48</v>
      </c>
      <c r="B49" t="s">
        <v>93</v>
      </c>
      <c r="C49" t="s">
        <v>26</v>
      </c>
      <c r="D49" t="s">
        <v>21</v>
      </c>
      <c r="E49" t="s">
        <v>25</v>
      </c>
      <c r="G49">
        <v>3</v>
      </c>
      <c r="H49" t="s">
        <v>180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DD49" s="6">
        <f ca="1">IF(XDE49=0,"",COUNTIF(A$1:$A49,"&gt;0"))</f>
        <v>48</v>
      </c>
      <c r="XDE49" s="6">
        <f ca="1">IFERROR(SEARCH(INDIRECT(CELL("address")),B:B),0)</f>
        <v>1</v>
      </c>
      <c r="XDF49" s="6" t="str">
        <f ca="1">IFERROR(INDEX(Table_Projects_17[],MATCH(ROW(XDE48),XDG$2:XDG$1048576,0),1),"")</f>
        <v/>
      </c>
      <c r="XDK49" s="6">
        <f ca="1">IF(ISNUMBER(SEARCH(INDIRECT(CELL("address")),Platforma_metis)),MAX(XDK$1:$XDK48)+1,0)</f>
        <v>48</v>
      </c>
      <c r="XDL49" s="6" t="str">
        <f ca="1">IFERROR(VLOOKUP(ROWS($XDK$2:XDK49),A:A,2,FALSE),"")</f>
        <v/>
      </c>
      <c r="XDM49"/>
      <c r="XDN49"/>
      <c r="XDO49"/>
    </row>
    <row r="50" spans="1:23 16332:16343" x14ac:dyDescent="0.25">
      <c r="A50" s="5">
        <f ca="1">IF(ISNUMBER(SEARCH(INDIRECT(CELL("address")),Platforma_metis)),MAX(A$1:$A49)+1,0)</f>
        <v>49</v>
      </c>
      <c r="B50" t="s">
        <v>137</v>
      </c>
      <c r="C50" t="s">
        <v>67</v>
      </c>
      <c r="D50" t="s">
        <v>55</v>
      </c>
      <c r="E50" t="s">
        <v>25</v>
      </c>
      <c r="G50">
        <v>35</v>
      </c>
      <c r="H50" t="s">
        <v>180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DD50" s="6">
        <f ca="1">IF(XDE50=0,"",COUNTIF(A$1:$A50,"&gt;0"))</f>
        <v>49</v>
      </c>
      <c r="XDE50" s="6">
        <f ca="1">IFERROR(SEARCH(INDIRECT(CELL("address")),B:B),0)</f>
        <v>1</v>
      </c>
      <c r="XDF50" s="6" t="str">
        <f ca="1">IFERROR(INDEX(Table_Projects_17[],MATCH(ROW(XDE49),XDG$2:XDG$1048576,0),1),"")</f>
        <v/>
      </c>
      <c r="XDK50" s="6">
        <f ca="1">IF(ISNUMBER(SEARCH(INDIRECT(CELL("address")),Platforma_metis)),MAX(XDK$1:$XDK49)+1,0)</f>
        <v>49</v>
      </c>
      <c r="XDL50" s="6" t="str">
        <f ca="1">IFERROR(VLOOKUP(ROWS($XDK$2:XDK50),A:A,2,FALSE),"")</f>
        <v/>
      </c>
      <c r="XDM50"/>
      <c r="XDN50"/>
      <c r="XDO50"/>
    </row>
    <row r="51" spans="1:23 16332:16343" x14ac:dyDescent="0.25">
      <c r="A51" s="5">
        <f ca="1">IF(ISNUMBER(SEARCH(INDIRECT(CELL("address")),Platforma_metis)),MAX(A$1:$A50)+1,0)</f>
        <v>50</v>
      </c>
      <c r="B51" t="s">
        <v>120</v>
      </c>
      <c r="C51" t="s">
        <v>88</v>
      </c>
      <c r="D51" t="s">
        <v>55</v>
      </c>
      <c r="E51" t="s">
        <v>75</v>
      </c>
      <c r="H51" t="s">
        <v>180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DD51" s="6">
        <f ca="1">IF(XDE51=0,"",COUNTIF(A$1:$A51,"&gt;0"))</f>
        <v>50</v>
      </c>
      <c r="XDE51" s="6">
        <f ca="1">IFERROR(SEARCH(INDIRECT(CELL("address")),B:B),0)</f>
        <v>1</v>
      </c>
      <c r="XDF51" s="6" t="str">
        <f ca="1">IFERROR(INDEX(Table_Projects_17[],MATCH(ROW(XDE50),XDG$2:XDG$1048576,0),1),"")</f>
        <v/>
      </c>
      <c r="XDK51" s="6">
        <f ca="1">IF(ISNUMBER(SEARCH(INDIRECT(CELL("address")),Platforma_metis)),MAX(XDK$1:$XDK50)+1,0)</f>
        <v>50</v>
      </c>
      <c r="XDL51" s="6" t="str">
        <f ca="1">IFERROR(VLOOKUP(ROWS($XDK$2:XDK51),A:A,2,FALSE),"")</f>
        <v/>
      </c>
      <c r="XDM51"/>
      <c r="XDN51"/>
      <c r="XDO51"/>
    </row>
    <row r="52" spans="1:23 16332:16343" x14ac:dyDescent="0.25">
      <c r="A52" s="5">
        <f ca="1">IF(ISNUMBER(SEARCH(INDIRECT(CELL("address")),Platforma_metis)),MAX(A$1:$A51)+1,0)</f>
        <v>51</v>
      </c>
      <c r="B52" t="s">
        <v>138</v>
      </c>
      <c r="C52" t="s">
        <v>68</v>
      </c>
      <c r="D52" t="s">
        <v>55</v>
      </c>
      <c r="E52" t="s">
        <v>25</v>
      </c>
      <c r="G52">
        <v>36</v>
      </c>
      <c r="H52" t="s">
        <v>180</v>
      </c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DD52" s="6">
        <f ca="1">IF(XDE52=0,"",COUNTIF(A$1:$A52,"&gt;0"))</f>
        <v>51</v>
      </c>
      <c r="XDE52" s="6">
        <f ca="1">IFERROR(SEARCH(INDIRECT(CELL("address")),B:B),0)</f>
        <v>1</v>
      </c>
      <c r="XDF52" s="6" t="str">
        <f ca="1">IFERROR(INDEX(Table_Projects_17[],MATCH(ROW(XDE51),XDG$2:XDG$1048576,0),1),"")</f>
        <v/>
      </c>
      <c r="XDK52" s="6">
        <f ca="1">IF(ISNUMBER(SEARCH(INDIRECT(CELL("address")),Platforma_metis)),MAX(XDK$1:$XDK51)+1,0)</f>
        <v>51</v>
      </c>
      <c r="XDL52" s="6" t="str">
        <f ca="1">IFERROR(VLOOKUP(ROWS($XDK$2:XDK52),A:A,2,FALSE),"")</f>
        <v/>
      </c>
      <c r="XDM52"/>
      <c r="XDN52"/>
      <c r="XDO52"/>
    </row>
    <row r="53" spans="1:23 16332:16343" x14ac:dyDescent="0.25">
      <c r="A53" s="5">
        <f ca="1">IF(ISNUMBER(SEARCH(INDIRECT(CELL("address")),Platforma_metis)),MAX(A$1:$A52)+1,0)</f>
        <v>52</v>
      </c>
      <c r="B53" t="s">
        <v>103</v>
      </c>
      <c r="C53" t="s">
        <v>37</v>
      </c>
      <c r="D53" t="s">
        <v>36</v>
      </c>
      <c r="E53" t="s">
        <v>23</v>
      </c>
      <c r="G53">
        <v>10</v>
      </c>
      <c r="H53" t="s">
        <v>180</v>
      </c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DD53" s="6">
        <f ca="1">IF(XDE53=0,"",COUNTIF(A$1:$A53,"&gt;0"))</f>
        <v>52</v>
      </c>
      <c r="XDE53" s="6">
        <f ca="1">IFERROR(SEARCH(INDIRECT(CELL("address")),B:B),0)</f>
        <v>1</v>
      </c>
      <c r="XDF53" s="6" t="str">
        <f ca="1">IFERROR(INDEX(Table_Projects_17[],MATCH(ROW(XDE52),XDG$2:XDG$1048576,0),1),"")</f>
        <v/>
      </c>
      <c r="XDK53" s="6">
        <f ca="1">IF(ISNUMBER(SEARCH(INDIRECT(CELL("address")),Platforma_metis)),MAX(XDK$1:$XDK52)+1,0)</f>
        <v>52</v>
      </c>
      <c r="XDL53" s="6" t="str">
        <f ca="1">IFERROR(VLOOKUP(ROWS($XDK$2:XDK53),A:A,2,FALSE),"")</f>
        <v/>
      </c>
      <c r="XDM53"/>
      <c r="XDN53"/>
      <c r="XDO53"/>
    </row>
    <row r="54" spans="1:23 16332:16343" x14ac:dyDescent="0.25">
      <c r="A54" s="5">
        <f ca="1">IF(ISNUMBER(SEARCH(INDIRECT(CELL("address")),Platforma_metis)),MAX(A$1:$A53)+1,0)</f>
        <v>53</v>
      </c>
      <c r="B54" t="s">
        <v>199</v>
      </c>
      <c r="C54" t="s">
        <v>35</v>
      </c>
      <c r="D54" t="s">
        <v>176</v>
      </c>
      <c r="E54" t="s">
        <v>25</v>
      </c>
      <c r="G54">
        <v>9</v>
      </c>
      <c r="H54" t="s">
        <v>150</v>
      </c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 t="s">
        <v>200</v>
      </c>
      <c r="XDD54" s="6">
        <f ca="1">IF(XDE54=0,"",COUNTIF(A$1:$A54,"&gt;0"))</f>
        <v>53</v>
      </c>
      <c r="XDE54" s="6">
        <f ca="1">IFERROR(SEARCH(INDIRECT(CELL("address")),B:B),0)</f>
        <v>1</v>
      </c>
      <c r="XDF54" s="6" t="str">
        <f ca="1">IFERROR(INDEX(Table_Projects_17[],MATCH(ROW(XDE53),XDG$2:XDG$1048576,0),1),"")</f>
        <v/>
      </c>
      <c r="XDK54" s="6">
        <f ca="1">IF(ISNUMBER(SEARCH(INDIRECT(CELL("address")),Platforma_metis)),MAX(XDK$1:$XDK53)+1,0)</f>
        <v>53</v>
      </c>
      <c r="XDL54" s="6" t="str">
        <f ca="1">IFERROR(VLOOKUP(ROWS($XDK$2:XDK54),A:A,2,FALSE),"")</f>
        <v/>
      </c>
      <c r="XDM54"/>
      <c r="XDN54"/>
      <c r="XDO54"/>
    </row>
    <row r="55" spans="1:23 16332:16343" x14ac:dyDescent="0.25">
      <c r="A55" s="5">
        <f ca="1">IF(ISNUMBER(SEARCH(INDIRECT(CELL("address")),Platforma_metis)),MAX(A$1:$A54)+1,0)</f>
        <v>54</v>
      </c>
      <c r="B55" t="s">
        <v>204</v>
      </c>
      <c r="C55" t="s">
        <v>35</v>
      </c>
      <c r="D55" t="s">
        <v>176</v>
      </c>
      <c r="E55" t="s">
        <v>23</v>
      </c>
      <c r="H55" t="s">
        <v>145</v>
      </c>
      <c r="I55" s="3"/>
      <c r="J55" s="3"/>
      <c r="K55" s="3">
        <v>43392</v>
      </c>
      <c r="L55" s="3">
        <v>43392</v>
      </c>
      <c r="M55" s="3">
        <v>43406</v>
      </c>
      <c r="N55" s="3">
        <v>43434</v>
      </c>
      <c r="O55" s="3">
        <v>43514</v>
      </c>
      <c r="P55" s="3">
        <v>44241</v>
      </c>
      <c r="Q55" s="3">
        <v>44393</v>
      </c>
      <c r="R55" s="3">
        <v>44617</v>
      </c>
      <c r="S55" s="3">
        <v>44659</v>
      </c>
      <c r="T55" s="3">
        <v>44827</v>
      </c>
      <c r="U55" s="3">
        <v>44834</v>
      </c>
      <c r="V55" s="3">
        <v>45030</v>
      </c>
      <c r="W55" s="3" t="s">
        <v>200</v>
      </c>
      <c r="XDD55" s="6">
        <f ca="1">IF(XDE55=0,"",COUNTIF(A$1:$A55,"&gt;0"))</f>
        <v>54</v>
      </c>
      <c r="XDE55" s="6">
        <f ca="1">IFERROR(SEARCH(INDIRECT(CELL("address")),B:B),0)</f>
        <v>1</v>
      </c>
      <c r="XDF55" s="6" t="str">
        <f ca="1">IFERROR(INDEX(Table_Projects_17[],MATCH(ROW(XDE54),XDG$2:XDG$1048576,0),1),"")</f>
        <v/>
      </c>
      <c r="XDK55" s="6">
        <f ca="1">IF(ISNUMBER(SEARCH(INDIRECT(CELL("address")),Platforma_metis)),MAX(XDK$1:$XDK54)+1,0)</f>
        <v>54</v>
      </c>
      <c r="XDL55" s="6" t="str">
        <f ca="1">IFERROR(VLOOKUP(ROWS($XDK$2:XDK55),A:A,2,FALSE),"")</f>
        <v/>
      </c>
      <c r="XDM55"/>
      <c r="XDN55"/>
      <c r="XDO55"/>
    </row>
    <row r="56" spans="1:23 16332:16343" x14ac:dyDescent="0.25">
      <c r="A56" s="5">
        <f ca="1">IF(ISNUMBER(SEARCH(INDIRECT(CELL("address")),Platforma_metis)),MAX(A$1:$A55)+1,0)</f>
        <v>55</v>
      </c>
      <c r="B56" t="s">
        <v>125</v>
      </c>
      <c r="C56" t="s">
        <v>49</v>
      </c>
      <c r="D56" t="s">
        <v>36</v>
      </c>
      <c r="E56" t="s">
        <v>50</v>
      </c>
      <c r="G56">
        <v>21</v>
      </c>
      <c r="H56" t="s">
        <v>180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DD56" s="6">
        <f ca="1">IF(XDE56=0,"",COUNTIF(A$1:$A56,"&gt;0"))</f>
        <v>55</v>
      </c>
      <c r="XDE56" s="6">
        <f ca="1">IFERROR(SEARCH(INDIRECT(CELL("address")),B:B),0)</f>
        <v>1</v>
      </c>
      <c r="XDF56" s="6" t="str">
        <f ca="1">IFERROR(INDEX(Table_Projects_17[],MATCH(ROW(XDE55),XDG$2:XDG$1048576,0),1),"")</f>
        <v/>
      </c>
      <c r="XDK56" s="6">
        <f ca="1">IF(ISNUMBER(SEARCH(INDIRECT(CELL("address")),Platforma_metis)),MAX(XDK$1:$XDK55)+1,0)</f>
        <v>55</v>
      </c>
      <c r="XDL56" s="6" t="str">
        <f ca="1">IFERROR(VLOOKUP(ROWS($XDK$2:XDK56),A:A,2,FALSE),"")</f>
        <v/>
      </c>
      <c r="XDM56"/>
      <c r="XDN56"/>
      <c r="XDO56"/>
    </row>
    <row r="57" spans="1:23 16332:16343" x14ac:dyDescent="0.25">
      <c r="A57" s="5">
        <f ca="1">IF(ISNUMBER(SEARCH(INDIRECT(CELL("address")),Platforma_metis)),MAX(A$1:$A56)+1,0)</f>
        <v>56</v>
      </c>
      <c r="B57" t="s">
        <v>107</v>
      </c>
      <c r="C57" t="s">
        <v>41</v>
      </c>
      <c r="D57" t="s">
        <v>21</v>
      </c>
      <c r="E57" t="s">
        <v>25</v>
      </c>
      <c r="G57">
        <v>13</v>
      </c>
      <c r="H57" t="s">
        <v>180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DD57" s="6">
        <f ca="1">IF(XDE57=0,"",COUNTIF(A$1:$A57,"&gt;0"))</f>
        <v>56</v>
      </c>
      <c r="XDE57" s="6">
        <f ca="1">IFERROR(SEARCH(INDIRECT(CELL("address")),B:B),0)</f>
        <v>1</v>
      </c>
      <c r="XDF57" s="6" t="str">
        <f ca="1">IFERROR(INDEX(Table_Projects_17[],MATCH(ROW(XDE56),XDG$2:XDG$1048576,0),1),"")</f>
        <v/>
      </c>
      <c r="XDK57" s="6">
        <f ca="1">IF(ISNUMBER(SEARCH(INDIRECT(CELL("address")),Platforma_metis)),MAX(XDK$1:$XDK56)+1,0)</f>
        <v>56</v>
      </c>
      <c r="XDL57" s="6" t="str">
        <f ca="1">IFERROR(VLOOKUP(ROWS($XDK$2:XDK57),A:A,2,FALSE),"")</f>
        <v/>
      </c>
      <c r="XDM57"/>
      <c r="XDN57"/>
      <c r="XDO57"/>
    </row>
    <row r="58" spans="1:23 16332:16343" x14ac:dyDescent="0.25">
      <c r="A58" s="5">
        <f ca="1">IF(ISNUMBER(SEARCH(INDIRECT(CELL("address")),Platforma_metis)),MAX(A$1:$A57)+1,0)</f>
        <v>57</v>
      </c>
      <c r="B58" t="s">
        <v>105</v>
      </c>
      <c r="C58" t="s">
        <v>39</v>
      </c>
      <c r="D58" t="s">
        <v>21</v>
      </c>
      <c r="E58" t="s">
        <v>23</v>
      </c>
      <c r="G58">
        <v>12</v>
      </c>
      <c r="H58" t="s">
        <v>180</v>
      </c>
      <c r="I58" s="3"/>
      <c r="J58" s="3"/>
      <c r="K58" s="3"/>
      <c r="L58" s="3">
        <v>43050</v>
      </c>
      <c r="M58" s="3">
        <v>43112</v>
      </c>
      <c r="N58" s="3">
        <v>43195</v>
      </c>
      <c r="O58" s="3">
        <v>43259</v>
      </c>
      <c r="P58" s="3">
        <v>43301</v>
      </c>
      <c r="Q58" s="3">
        <v>43476</v>
      </c>
      <c r="R58" s="3">
        <v>43679</v>
      </c>
      <c r="S58" s="3">
        <v>43728</v>
      </c>
      <c r="T58" s="3">
        <v>43784</v>
      </c>
      <c r="U58" s="3">
        <v>43791</v>
      </c>
      <c r="V58" s="3">
        <v>44347</v>
      </c>
      <c r="W58" s="3"/>
      <c r="XDD58" s="6">
        <f ca="1">IF(XDE58=0,"",COUNTIF(A$1:$A58,"&gt;0"))</f>
        <v>57</v>
      </c>
      <c r="XDE58" s="6">
        <f ca="1">IFERROR(SEARCH(INDIRECT(CELL("address")),B:B),0)</f>
        <v>1</v>
      </c>
      <c r="XDF58" s="6" t="str">
        <f ca="1">IFERROR(INDEX(Table_Projects_17[],MATCH(ROW(XDE57),XDG$2:XDG$1048576,0),1),"")</f>
        <v/>
      </c>
      <c r="XDK58" s="6">
        <f ca="1">IF(ISNUMBER(SEARCH(INDIRECT(CELL("address")),Platforma_metis)),MAX(XDK$1:$XDK57)+1,0)</f>
        <v>57</v>
      </c>
      <c r="XDL58" s="6" t="str">
        <f ca="1">IFERROR(VLOOKUP(ROWS($XDK$2:XDK58),A:A,2,FALSE),"")</f>
        <v/>
      </c>
      <c r="XDM58"/>
      <c r="XDN58"/>
      <c r="XDO58"/>
    </row>
    <row r="59" spans="1:23 16332:16343" x14ac:dyDescent="0.25">
      <c r="A59" s="5">
        <f ca="1">IF(ISNUMBER(SEARCH(INDIRECT(CELL("address")),Platforma_metis)),MAX(A$1:$A58)+1,0)</f>
        <v>58</v>
      </c>
      <c r="B59" t="s">
        <v>15</v>
      </c>
      <c r="C59" t="s">
        <v>168</v>
      </c>
      <c r="D59" t="s">
        <v>71</v>
      </c>
      <c r="E59" t="s">
        <v>25</v>
      </c>
      <c r="H59" t="s">
        <v>147</v>
      </c>
      <c r="I59" s="3"/>
      <c r="J59" s="3"/>
      <c r="K59" s="3">
        <v>43511</v>
      </c>
      <c r="L59" s="3">
        <v>43546</v>
      </c>
      <c r="M59" s="3">
        <v>43581</v>
      </c>
      <c r="N59" s="3">
        <v>43614</v>
      </c>
      <c r="O59" s="3">
        <v>43651</v>
      </c>
      <c r="P59" s="3">
        <v>43686</v>
      </c>
      <c r="Q59" s="3">
        <v>43924</v>
      </c>
      <c r="R59" s="3">
        <v>44022</v>
      </c>
      <c r="S59" s="3">
        <v>44323</v>
      </c>
      <c r="T59" s="3">
        <v>44725</v>
      </c>
      <c r="U59" s="3">
        <v>44826</v>
      </c>
      <c r="V59" s="3">
        <v>44917</v>
      </c>
      <c r="W59" s="3"/>
      <c r="XDD59" s="6">
        <f ca="1">IF(XDE59=0,"",COUNTIF(A$1:$A59,"&gt;0"))</f>
        <v>58</v>
      </c>
      <c r="XDE59" s="6">
        <f ca="1">IFERROR(SEARCH(INDIRECT(CELL("address")),B:B),0)</f>
        <v>1</v>
      </c>
      <c r="XDF59" s="6" t="str">
        <f ca="1">IFERROR(INDEX(Table_Projects_17[],MATCH(ROW(XDE58),XDG$2:XDG$1048576,0),1),"")</f>
        <v/>
      </c>
      <c r="XDK59" s="6">
        <f ca="1">IF(ISNUMBER(SEARCH(INDIRECT(CELL("address")),Platforma_metis)),MAX(XDK$1:$XDK58)+1,0)</f>
        <v>58</v>
      </c>
      <c r="XDL59" s="6" t="str">
        <f ca="1">IFERROR(VLOOKUP(ROWS($XDK$2:XDK59),A:A,2,FALSE),"")</f>
        <v/>
      </c>
      <c r="XDM59"/>
      <c r="XDN59"/>
      <c r="XDO59"/>
    </row>
    <row r="60" spans="1:23 16332:16343" x14ac:dyDescent="0.25">
      <c r="A60" s="5">
        <f ca="1">IF(ISNUMBER(SEARCH(INDIRECT(CELL("address")),Platforma_metis)),MAX(A$1:$A59)+1,0)</f>
        <v>59</v>
      </c>
      <c r="B60" t="s">
        <v>101</v>
      </c>
      <c r="C60" t="s">
        <v>32</v>
      </c>
      <c r="D60" t="s">
        <v>31</v>
      </c>
      <c r="E60" t="s">
        <v>23</v>
      </c>
      <c r="G60">
        <v>7</v>
      </c>
      <c r="H60" t="s">
        <v>180</v>
      </c>
      <c r="I60" s="3">
        <v>43160</v>
      </c>
      <c r="J60" s="3">
        <v>43227</v>
      </c>
      <c r="K60" s="3">
        <v>43344</v>
      </c>
      <c r="L60" s="3">
        <v>43444</v>
      </c>
      <c r="M60" s="3">
        <v>43448</v>
      </c>
      <c r="N60" s="3">
        <v>43490</v>
      </c>
      <c r="O60" s="3">
        <v>43511</v>
      </c>
      <c r="P60" s="3">
        <v>43562</v>
      </c>
      <c r="Q60" s="3">
        <v>43703</v>
      </c>
      <c r="R60" s="3">
        <v>43810</v>
      </c>
      <c r="S60" s="3">
        <v>43858</v>
      </c>
      <c r="T60" s="3">
        <v>43929</v>
      </c>
      <c r="U60" s="3">
        <v>44062</v>
      </c>
      <c r="V60" s="3">
        <v>44274</v>
      </c>
      <c r="W60" s="3"/>
      <c r="XDD60" s="6">
        <f ca="1">IF(XDE60=0,"",COUNTIF(A$1:$A60,"&gt;0"))</f>
        <v>59</v>
      </c>
      <c r="XDE60" s="6">
        <f ca="1">IFERROR(SEARCH(INDIRECT(CELL("address")),B:B),0)</f>
        <v>1</v>
      </c>
      <c r="XDF60" s="6" t="str">
        <f ca="1">IFERROR(INDEX(Table_Projects_17[],MATCH(ROW(XDE59),XDG$2:XDG$1048576,0),1),"")</f>
        <v/>
      </c>
      <c r="XDM60"/>
      <c r="XDN60"/>
      <c r="XDO60"/>
    </row>
    <row r="61" spans="1:23 16332:16343" x14ac:dyDescent="0.25">
      <c r="A61" s="5">
        <f ca="1">IF(ISNUMBER(SEARCH(INDIRECT(CELL("address")),Platforma_metis)),MAX(A$1:$A60)+1,0)</f>
        <v>60</v>
      </c>
      <c r="B61" t="s">
        <v>73</v>
      </c>
      <c r="C61" t="s">
        <v>72</v>
      </c>
      <c r="D61" t="s">
        <v>71</v>
      </c>
      <c r="E61" t="s">
        <v>25</v>
      </c>
      <c r="H61" t="s">
        <v>146</v>
      </c>
      <c r="I61" s="3">
        <v>43791</v>
      </c>
      <c r="J61" s="3">
        <v>43791</v>
      </c>
      <c r="K61" s="3">
        <v>43791</v>
      </c>
      <c r="L61" s="3">
        <v>43869</v>
      </c>
      <c r="M61" s="3">
        <v>43987</v>
      </c>
      <c r="N61" s="3">
        <v>44050</v>
      </c>
      <c r="O61" s="3">
        <v>44078</v>
      </c>
      <c r="P61" s="3">
        <v>44113</v>
      </c>
      <c r="Q61" s="3">
        <v>44281</v>
      </c>
      <c r="R61" s="3">
        <v>44449</v>
      </c>
      <c r="S61" s="3">
        <v>44491</v>
      </c>
      <c r="T61" s="3">
        <v>44582</v>
      </c>
      <c r="U61" s="3">
        <v>44624</v>
      </c>
      <c r="V61" s="3">
        <v>44808</v>
      </c>
      <c r="W61" s="3"/>
      <c r="XDD61" s="6">
        <f ca="1">IF(XDE61=0,"",COUNTIF(A$1:$A61,"&gt;0"))</f>
        <v>60</v>
      </c>
      <c r="XDE61" s="6">
        <f ca="1">IFERROR(SEARCH(INDIRECT(CELL("address")),B:B),0)</f>
        <v>1</v>
      </c>
      <c r="XDF61" s="6" t="str">
        <f ca="1">IFERROR(INDEX(Table_Projects_17[],MATCH(ROW(XDE60),XDG$2:XDG$1048576,0),1),"")</f>
        <v/>
      </c>
      <c r="XDM61"/>
      <c r="XDN61"/>
      <c r="XDO61"/>
    </row>
    <row r="62" spans="1:23 16332:16343" x14ac:dyDescent="0.25">
      <c r="A62" s="5">
        <f ca="1">IF(ISNUMBER(SEARCH(INDIRECT(CELL("address")),Platforma_metis)),MAX(A$1:$A61)+1,0)</f>
        <v>61</v>
      </c>
      <c r="B62" t="s">
        <v>127</v>
      </c>
      <c r="C62" t="s">
        <v>54</v>
      </c>
      <c r="D62" t="s">
        <v>31</v>
      </c>
      <c r="E62" t="s">
        <v>23</v>
      </c>
      <c r="G62">
        <v>24</v>
      </c>
      <c r="H62" t="s">
        <v>145</v>
      </c>
      <c r="I62" s="3">
        <v>43506</v>
      </c>
      <c r="J62" s="3">
        <v>43718</v>
      </c>
      <c r="K62" s="3">
        <v>43752</v>
      </c>
      <c r="L62" s="3">
        <v>43566</v>
      </c>
      <c r="M62" s="3">
        <v>43852</v>
      </c>
      <c r="N62" s="3">
        <v>43889</v>
      </c>
      <c r="O62" s="3">
        <v>43916</v>
      </c>
      <c r="P62" s="3">
        <v>43966</v>
      </c>
      <c r="Q62" s="3">
        <v>44127</v>
      </c>
      <c r="R62" s="3">
        <v>44531</v>
      </c>
      <c r="S62" s="3">
        <v>44305</v>
      </c>
      <c r="T62" s="3">
        <v>44473</v>
      </c>
      <c r="U62" s="3">
        <v>44484</v>
      </c>
      <c r="V62" s="3">
        <v>43929</v>
      </c>
      <c r="W62" s="3"/>
      <c r="XDD62" s="6">
        <f ca="1">IF(XDE62=0,"",COUNTIF(A$1:$A62,"&gt;0"))</f>
        <v>61</v>
      </c>
      <c r="XDE62" s="6">
        <f ca="1">IFERROR(SEARCH(INDIRECT(CELL("address")),B:B),0)</f>
        <v>1</v>
      </c>
      <c r="XDF62" s="6" t="str">
        <f ca="1">IFERROR(INDEX(Table_Projects_17[],MATCH(ROW(XDE61),XDG$2:XDG$1048576,0),1),"")</f>
        <v/>
      </c>
      <c r="XDM62"/>
      <c r="XDN62"/>
      <c r="XDO62"/>
    </row>
    <row r="63" spans="1:23 16332:16343" x14ac:dyDescent="0.25">
      <c r="A63" s="5">
        <f ca="1">IF(ISNUMBER(SEARCH(INDIRECT(CELL("address")),Platforma_metis)),MAX(A$1:$A62)+1,0)</f>
        <v>62</v>
      </c>
      <c r="B63" t="s">
        <v>189</v>
      </c>
      <c r="C63" t="s">
        <v>190</v>
      </c>
      <c r="D63" t="s">
        <v>33</v>
      </c>
      <c r="E63" t="s">
        <v>23</v>
      </c>
      <c r="H63" t="s">
        <v>151</v>
      </c>
      <c r="I63" s="3"/>
      <c r="J63" s="3"/>
      <c r="K63" s="3">
        <v>43955</v>
      </c>
      <c r="L63" s="3">
        <v>44071</v>
      </c>
      <c r="M63" s="3">
        <v>44148</v>
      </c>
      <c r="N63" s="3">
        <v>44253</v>
      </c>
      <c r="O63" s="3">
        <v>44292</v>
      </c>
      <c r="P63" s="3">
        <v>44421</v>
      </c>
      <c r="Q63" s="3">
        <v>44617</v>
      </c>
      <c r="R63" s="3">
        <v>44689</v>
      </c>
      <c r="S63" s="3">
        <v>44604</v>
      </c>
      <c r="T63" s="3">
        <v>45201</v>
      </c>
      <c r="U63" s="3">
        <v>45064</v>
      </c>
      <c r="V63" s="3">
        <v>45163</v>
      </c>
      <c r="W63" s="3"/>
      <c r="XDF63" s="6">
        <f ca="1">IF(XDG63=0,"",COUNTIF(A$1:$A63,"&gt;0"))</f>
        <v>62</v>
      </c>
      <c r="XDG63" s="6">
        <f ca="1">IFERROR(SEARCH(INDIRECT(CELL("address")),B:B),0)</f>
        <v>1</v>
      </c>
      <c r="XDH63" s="6" t="str">
        <f ca="1">IFERROR(INDEX(Table_Projects_17[],MATCH(ROW(XDE62),XDG$2:XDG$1048576,0),1),"")</f>
        <v/>
      </c>
      <c r="XDO63"/>
    </row>
    <row r="64" spans="1:23 16332:16343" x14ac:dyDescent="0.25">
      <c r="A64" s="5">
        <f ca="1">IF(ISNUMBER(SEARCH(INDIRECT(CELL("address")),Platforma_metis)),MAX(A$1:$A63)+1,0)</f>
        <v>63</v>
      </c>
      <c r="B64" t="s">
        <v>221</v>
      </c>
      <c r="C64" t="s">
        <v>222</v>
      </c>
      <c r="D64" t="s">
        <v>55</v>
      </c>
      <c r="E64" t="s">
        <v>23</v>
      </c>
      <c r="H64" t="s">
        <v>180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DG64" s="6">
        <f ca="1">IF(XDH64=0,"",COUNTIF(A$1:$A64,"&gt;0"))</f>
        <v>63</v>
      </c>
      <c r="XDH64" s="6">
        <f ca="1">IFERROR(SEARCH(INDIRECT(CELL("address")),B:B),0)</f>
        <v>1</v>
      </c>
      <c r="XDI64" s="6" t="str">
        <f ca="1">IFERROR(INDEX(Table_Projects_17[],MATCH(ROW(XDG63),XDG$2:XDG$1048576,0),1),"")</f>
        <v>SCCM - V710</v>
      </c>
    </row>
    <row r="65" spans="1:23 16335:16337" x14ac:dyDescent="0.25">
      <c r="A65" s="5">
        <f ca="1">IF(ISNUMBER(SEARCH(INDIRECT(CELL("address")),Platforma_metis)),MAX(A$1:$A64)+1,0)</f>
        <v>64</v>
      </c>
      <c r="B65" t="s">
        <v>223</v>
      </c>
      <c r="C65" t="s">
        <v>88</v>
      </c>
      <c r="D65" t="s">
        <v>55</v>
      </c>
      <c r="E65" t="s">
        <v>23</v>
      </c>
      <c r="H65" t="s">
        <v>150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 t="s">
        <v>200</v>
      </c>
      <c r="XDG65" s="6">
        <f ca="1">IF(XDH65=0,"",COUNTIF(A$1:$A65,"&gt;0"))</f>
        <v>64</v>
      </c>
      <c r="XDH65" s="6">
        <f ca="1">IFERROR(SEARCH(INDIRECT(CELL("address")),B:B),0)</f>
        <v>1</v>
      </c>
      <c r="XDI65" s="6" t="str">
        <f ca="1">IFERROR(INDEX(Table_Projects_17[],MATCH(ROW(XDH64),XDG$2:XDG$1048576,0),1),"")</f>
        <v>CX482MCA + V769</v>
      </c>
    </row>
    <row r="66" spans="1:23 16335:16337" x14ac:dyDescent="0.25">
      <c r="A66" s="5">
        <f ca="1">IF(ISNUMBER(SEARCH(INDIRECT(CELL("address")),Platforma_metis)),MAX(A$1:$A65)+1,0)</f>
        <v>65</v>
      </c>
      <c r="B66" t="s">
        <v>224</v>
      </c>
      <c r="C66" t="s">
        <v>225</v>
      </c>
      <c r="D66" t="s">
        <v>51</v>
      </c>
      <c r="E66" t="s">
        <v>23</v>
      </c>
      <c r="H66" t="s">
        <v>142</v>
      </c>
      <c r="I66" s="3">
        <v>43840</v>
      </c>
      <c r="J66" s="3">
        <v>43862</v>
      </c>
      <c r="K66" s="3">
        <v>44335</v>
      </c>
      <c r="L66" s="3">
        <v>44371</v>
      </c>
      <c r="M66" s="3">
        <v>44440</v>
      </c>
      <c r="N66" s="3">
        <v>44540</v>
      </c>
      <c r="O66" s="3">
        <v>44655</v>
      </c>
      <c r="P66" s="3">
        <v>44753</v>
      </c>
      <c r="Q66" s="3">
        <v>44995</v>
      </c>
      <c r="R66" s="3">
        <v>45056</v>
      </c>
      <c r="S66" s="3">
        <v>45110</v>
      </c>
      <c r="T66" s="3">
        <v>45321</v>
      </c>
      <c r="U66" s="3">
        <v>45392</v>
      </c>
      <c r="V66" s="3">
        <v>45575</v>
      </c>
      <c r="W66" s="3" t="s">
        <v>200</v>
      </c>
      <c r="XDG66" s="6">
        <f ca="1">IF(XDH66=0,"",COUNTIF(A$1:$A66,"&gt;0"))</f>
        <v>65</v>
      </c>
      <c r="XDH66" s="6">
        <f ca="1">IFERROR(SEARCH(INDIRECT(CELL("address")),B:B),0)</f>
        <v>1</v>
      </c>
      <c r="XDI66" s="6" t="str">
        <f ca="1">IFERROR(INDEX(Table_Projects_17[],MATCH(ROW(XDH65),XDG$2:XDG$1048576,0),1),"")</f>
        <v>MBAG MMA</v>
      </c>
    </row>
    <row r="67" spans="1:23 16335:16337" x14ac:dyDescent="0.25">
      <c r="A67" s="5">
        <f ca="1">IF(ISNUMBER(SEARCH(INDIRECT(CELL("address")),Platforma_metis)),MAX(A$1:$A66)+1,0)</f>
        <v>66</v>
      </c>
      <c r="B67" t="s">
        <v>226</v>
      </c>
      <c r="C67" t="s">
        <v>227</v>
      </c>
      <c r="D67" t="s">
        <v>33</v>
      </c>
      <c r="E67" t="s">
        <v>23</v>
      </c>
      <c r="H67" t="s">
        <v>144</v>
      </c>
      <c r="I67" s="3">
        <v>44130</v>
      </c>
      <c r="J67" s="3">
        <v>44246</v>
      </c>
      <c r="K67" s="3">
        <v>44344</v>
      </c>
      <c r="L67" s="3">
        <v>44375</v>
      </c>
      <c r="M67" s="3">
        <v>44375</v>
      </c>
      <c r="N67" s="3">
        <v>44410</v>
      </c>
      <c r="O67" s="3">
        <v>44445</v>
      </c>
      <c r="P67" s="3">
        <v>44473</v>
      </c>
      <c r="Q67" s="3">
        <v>44687</v>
      </c>
      <c r="R67" s="3">
        <v>44834</v>
      </c>
      <c r="S67" s="3">
        <v>44890</v>
      </c>
      <c r="T67" s="3">
        <v>45086</v>
      </c>
      <c r="U67" s="3">
        <v>45230</v>
      </c>
      <c r="V67" s="3">
        <v>45481</v>
      </c>
      <c r="W67" s="3" t="s">
        <v>200</v>
      </c>
      <c r="XDG67" s="6">
        <f ca="1">IF(XDH67=0,"",COUNTIF(A$1:$A67,"&gt;0"))</f>
        <v>66</v>
      </c>
      <c r="XDH67" s="6">
        <f ca="1">IFERROR(SEARCH(INDIRECT(CELL("address")),B:B),0)</f>
        <v>1</v>
      </c>
      <c r="XDI67" s="6" t="str">
        <f ca="1">IFERROR(INDEX(Table_Projects_17[],MATCH(ROW(XDH66),XDG$2:XDG$1048576,0),1),"")</f>
        <v>COM2020</v>
      </c>
    </row>
    <row r="68" spans="1:23 16335:16337" x14ac:dyDescent="0.25">
      <c r="A68" s="5">
        <f ca="1">IF(ISNUMBER(SEARCH(INDIRECT(CELL("address")),Platforma_metis)),MAX(A$1:$A67)+1,0)</f>
        <v>67</v>
      </c>
      <c r="B68" t="s">
        <v>228</v>
      </c>
      <c r="C68" t="s">
        <v>229</v>
      </c>
      <c r="D68" t="s">
        <v>21</v>
      </c>
      <c r="E68" t="s">
        <v>23</v>
      </c>
      <c r="H68" t="s">
        <v>140</v>
      </c>
      <c r="I68" s="3">
        <v>44301</v>
      </c>
      <c r="J68" s="3">
        <v>44362</v>
      </c>
      <c r="K68" s="3">
        <v>44483</v>
      </c>
      <c r="L68" s="3">
        <v>44665</v>
      </c>
      <c r="M68" s="3">
        <v>44686</v>
      </c>
      <c r="N68" s="3">
        <v>44749</v>
      </c>
      <c r="O68" s="3">
        <v>44777</v>
      </c>
      <c r="P68" s="3">
        <v>44812</v>
      </c>
      <c r="Q68" s="3">
        <v>44980</v>
      </c>
      <c r="R68" s="3">
        <v>45148</v>
      </c>
      <c r="S68" s="3">
        <v>45190</v>
      </c>
      <c r="T68" s="3">
        <v>45288</v>
      </c>
      <c r="U68" s="3">
        <v>45330</v>
      </c>
      <c r="V68" s="3">
        <v>45519</v>
      </c>
      <c r="W68" s="3"/>
      <c r="XDG68" s="6">
        <f ca="1">IF(XDH68=0,"",COUNTIF(A$1:$A68,"&gt;0"))</f>
        <v>67</v>
      </c>
      <c r="XDH68" s="6">
        <f ca="1">IFERROR(SEARCH(INDIRECT(CELL("address")),B:B),0)</f>
        <v>1</v>
      </c>
      <c r="XDI68" s="6" t="str">
        <f ca="1">IFERROR(INDEX(Table_Projects_17[],MATCH(ROW(XDH67),XDG$2:XDG$1048576,0),1),"")</f>
        <v>iSMLS Gen2 - MQB</v>
      </c>
    </row>
    <row r="69" spans="1:23 16335:16337" x14ac:dyDescent="0.25">
      <c r="A69" s="5">
        <f ca="1">IF(ISNUMBER(SEARCH(INDIRECT(CELL("address")),Platforma_metis)),MAX(A$1:$A68)+1,0)</f>
        <v>68</v>
      </c>
      <c r="B69" t="s">
        <v>230</v>
      </c>
      <c r="C69" t="s">
        <v>231</v>
      </c>
      <c r="D69" t="s">
        <v>21</v>
      </c>
      <c r="E69" t="s">
        <v>23</v>
      </c>
      <c r="H69" t="s">
        <v>180</v>
      </c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DG69" s="6">
        <f ca="1">IF(XDH69=0,"",COUNTIF(A$1:$A69,"&gt;0"))</f>
        <v>68</v>
      </c>
      <c r="XDH69" s="6">
        <f ca="1">IFERROR(SEARCH(INDIRECT(CELL("address")),B:B),0)</f>
        <v>1</v>
      </c>
      <c r="XDI69" s="6" t="str">
        <f ca="1">IFERROR(INDEX(Table_Projects_17[],MATCH(ROW(XDH68),XDG$2:XDG$1048576,0),1),"")</f>
        <v>iSMLS Gen2 - MLB</v>
      </c>
    </row>
    <row r="70" spans="1:23 16335:16337" x14ac:dyDescent="0.25">
      <c r="A70" s="5">
        <f ca="1">IF(ISNUMBER(SEARCH(INDIRECT(CELL("address")),Platforma_metis)),MAX(A$1:$A69)+1,0)</f>
        <v>0</v>
      </c>
      <c r="XDG70" s="6" t="str">
        <f ca="1">IF(XDH70=0,"",COUNTIF(A$1:$A70,"&gt;0"))</f>
        <v/>
      </c>
      <c r="XDH70" s="6">
        <f ca="1">IFERROR(SEARCH(INDIRECT(CELL("address")),B:B),0)</f>
        <v>0</v>
      </c>
      <c r="XDI70" s="6" t="str">
        <f ca="1">IFERROR(INDEX(Table_Projects_17[],MATCH(ROW(XDH69),XDG$2:XDG$1048576,0),1),"")</f>
        <v/>
      </c>
    </row>
    <row r="71" spans="1:23 16335:16337" x14ac:dyDescent="0.25">
      <c r="A71" s="5">
        <f ca="1">IF(ISNUMBER(SEARCH(INDIRECT(CELL("address")),Platforma_metis)),MAX(A$1:$A70)+1,0)</f>
        <v>0</v>
      </c>
      <c r="XDG71" s="6" t="str">
        <f ca="1">IF(XDH71=0,"",COUNTIF(A$1:$A71,"&gt;0"))</f>
        <v/>
      </c>
      <c r="XDH71" s="6">
        <f ca="1">IFERROR(SEARCH(INDIRECT(CELL("address")),B:B),0)</f>
        <v>0</v>
      </c>
      <c r="XDI71" s="6" t="str">
        <f ca="1">IFERROR(INDEX(Table_Projects_17[],MATCH(ROW(XDH70),XDG$2:XDG$1048576,0),1),"")</f>
        <v/>
      </c>
    </row>
    <row r="72" spans="1:23 16335:16337" x14ac:dyDescent="0.25">
      <c r="A72" s="5">
        <f ca="1">IF(ISNUMBER(SEARCH(INDIRECT(CELL("address")),Platforma_metis)),MAX(A$1:$A71)+1,0)</f>
        <v>0</v>
      </c>
      <c r="XDG72" s="6" t="str">
        <f ca="1">IF(XDH72=0,"",COUNTIF(A$1:$A72,"&gt;0"))</f>
        <v/>
      </c>
      <c r="XDH72" s="6">
        <f ca="1">IFERROR(SEARCH(INDIRECT(CELL("address")),B:B),0)</f>
        <v>0</v>
      </c>
      <c r="XDI72" s="6" t="str">
        <f ca="1">IFERROR(INDEX(Table_Projects_17[],MATCH(ROW(XDH71),XDG$2:XDG$1048576,0),1),"")</f>
        <v/>
      </c>
    </row>
    <row r="73" spans="1:23 16335:16337" x14ac:dyDescent="0.25">
      <c r="A73" s="5">
        <f ca="1">IF(ISNUMBER(SEARCH(INDIRECT(CELL("address")),Platforma_metis)),MAX(A$1:$A72)+1,0)</f>
        <v>0</v>
      </c>
      <c r="XDG73" s="6" t="str">
        <f ca="1">IF(XDH73=0,"",COUNTIF(A$1:$A73,"&gt;0"))</f>
        <v/>
      </c>
      <c r="XDH73" s="6">
        <f ca="1">IFERROR(SEARCH(INDIRECT(CELL("address")),B:B),0)</f>
        <v>0</v>
      </c>
      <c r="XDI73" s="6" t="str">
        <f ca="1">IFERROR(INDEX(Table_Projects_17[],MATCH(ROW(XDH72),XDG$2:XDG$1048576,0),1),"")</f>
        <v/>
      </c>
    </row>
    <row r="74" spans="1:23 16335:16337" x14ac:dyDescent="0.25">
      <c r="A74" s="5">
        <f ca="1">IF(ISNUMBER(SEARCH(INDIRECT(CELL("address")),Platforma_metis)),MAX(A$1:$A73)+1,0)</f>
        <v>0</v>
      </c>
      <c r="XDG74" s="6" t="str">
        <f ca="1">IF(XDH74=0,"",COUNTIF(A$1:$A74,"&gt;0"))</f>
        <v/>
      </c>
      <c r="XDH74" s="6">
        <f ca="1">IFERROR(SEARCH(INDIRECT(CELL("address")),B:B),0)</f>
        <v>0</v>
      </c>
      <c r="XDI74" s="6" t="str">
        <f ca="1">IFERROR(INDEX(Table_Projects_17[],MATCH(ROW(XDH73),XDG$2:XDG$1048576,0),1),"")</f>
        <v/>
      </c>
    </row>
    <row r="75" spans="1:23 16335:16337" x14ac:dyDescent="0.25">
      <c r="A75" s="5">
        <f ca="1">IF(ISNUMBER(SEARCH(INDIRECT(CELL("address")),Platforma_metis)),MAX(A$1:$A74)+1,0)</f>
        <v>0</v>
      </c>
      <c r="XDG75" s="6" t="str">
        <f ca="1">IF(XDH75=0,"",COUNTIF(A$1:$A75,"&gt;0"))</f>
        <v/>
      </c>
      <c r="XDH75" s="6">
        <f ca="1">IFERROR(SEARCH(INDIRECT(CELL("address")),B:B),0)</f>
        <v>0</v>
      </c>
      <c r="XDI75" s="6" t="str">
        <f ca="1">IFERROR(INDEX(Table_Projects_17[],MATCH(ROW(XDH74),XDG$2:XDG$1048576,0),1),"")</f>
        <v/>
      </c>
    </row>
    <row r="76" spans="1:23 16335:16337" x14ac:dyDescent="0.25">
      <c r="A76" s="5">
        <f ca="1">IF(ISNUMBER(SEARCH(INDIRECT(CELL("address")),Platforma_metis)),MAX(A$1:$A75)+1,0)</f>
        <v>0</v>
      </c>
      <c r="XDG76" s="6" t="str">
        <f ca="1">IF(XDH76=0,"",COUNTIF(A$1:$A76,"&gt;0"))</f>
        <v/>
      </c>
      <c r="XDH76" s="6">
        <f ca="1">IFERROR(SEARCH(INDIRECT(CELL("address")),B:B),0)</f>
        <v>0</v>
      </c>
      <c r="XDI76" s="6" t="str">
        <f ca="1">IFERROR(INDEX(Table_Projects_17[],MATCH(ROW(XDH75),XDG$2:XDG$1048576,0),1),"")</f>
        <v/>
      </c>
    </row>
    <row r="77" spans="1:23 16335:16337" x14ac:dyDescent="0.25">
      <c r="A77" s="5">
        <f ca="1">IF(ISNUMBER(SEARCH(INDIRECT(CELL("address")),Platforma_metis)),MAX(A$1:$A76)+1,0)</f>
        <v>0</v>
      </c>
      <c r="XDG77" s="6" t="str">
        <f ca="1">IF(XDH77=0,"",COUNTIF(A$1:$A77,"&gt;0"))</f>
        <v/>
      </c>
      <c r="XDH77" s="6">
        <f ca="1">IFERROR(SEARCH(INDIRECT(CELL("address")),B:B),0)</f>
        <v>0</v>
      </c>
      <c r="XDI77" s="6" t="str">
        <f ca="1">IFERROR(INDEX(Table_Projects_17[],MATCH(ROW(XDH76),XDG$2:XDG$1048576,0),1),"")</f>
        <v/>
      </c>
    </row>
    <row r="78" spans="1:23 16335:16337" x14ac:dyDescent="0.25">
      <c r="A78" s="5">
        <f ca="1">IF(ISNUMBER(SEARCH(INDIRECT(CELL("address")),Platforma_metis)),MAX(A$1:$A77)+1,0)</f>
        <v>0</v>
      </c>
      <c r="XDG78" s="6" t="str">
        <f ca="1">IF(XDH78=0,"",COUNTIF(A$1:$A78,"&gt;0"))</f>
        <v/>
      </c>
      <c r="XDH78" s="6">
        <f ca="1">IFERROR(SEARCH(INDIRECT(CELL("address")),B:B),0)</f>
        <v>0</v>
      </c>
      <c r="XDI78" s="6" t="str">
        <f ca="1">IFERROR(INDEX(Table_Projects_17[],MATCH(ROW(XDH77),XDG$2:XDG$1048576,0),1),"")</f>
        <v/>
      </c>
    </row>
    <row r="79" spans="1:23 16335:16337" x14ac:dyDescent="0.25">
      <c r="A79" s="5">
        <f ca="1">IF(ISNUMBER(SEARCH(INDIRECT(CELL("address")),Platforma_metis)),MAX(A$1:$A78)+1,0)</f>
        <v>0</v>
      </c>
      <c r="XDG79" s="6" t="str">
        <f ca="1">IF(XDH79=0,"",COUNTIF(A$1:$A79,"&gt;0"))</f>
        <v/>
      </c>
      <c r="XDH79" s="6">
        <f ca="1">IFERROR(SEARCH(INDIRECT(CELL("address")),B:B),0)</f>
        <v>0</v>
      </c>
      <c r="XDI79" s="6" t="str">
        <f ca="1">IFERROR(INDEX(Table_Projects_17[],MATCH(ROW(XDH78),XDG$2:XDG$1048576,0),1),"")</f>
        <v/>
      </c>
    </row>
    <row r="80" spans="1:23 16335:16337" x14ac:dyDescent="0.25">
      <c r="A80" s="5">
        <f ca="1">IF(ISNUMBER(SEARCH(INDIRECT(CELL("address")),Platforma_metis)),MAX(A$1:$A79)+1,0)</f>
        <v>0</v>
      </c>
      <c r="XDG80" s="6" t="str">
        <f ca="1">IF(XDH80=0,"",COUNTIF(A$1:$A80,"&gt;0"))</f>
        <v/>
      </c>
      <c r="XDH80" s="6">
        <f ca="1">IFERROR(SEARCH(INDIRECT(CELL("address")),B:B),0)</f>
        <v>0</v>
      </c>
      <c r="XDI80" s="6" t="str">
        <f ca="1">IFERROR(INDEX(Table_Projects_17[],MATCH(ROW(XDH79),XDG$2:XDG$1048576,0),1),"")</f>
        <v/>
      </c>
    </row>
    <row r="81" spans="1:1 16335:16337" x14ac:dyDescent="0.25">
      <c r="A81" s="5">
        <f ca="1">IF(ISNUMBER(SEARCH(INDIRECT(CELL("address")),Platforma_metis)),MAX(A$1:$A80)+1,0)</f>
        <v>0</v>
      </c>
      <c r="XDG81" s="6" t="str">
        <f ca="1">IF(XDH81=0,"",COUNTIF(A$1:$A81,"&gt;0"))</f>
        <v/>
      </c>
      <c r="XDH81" s="6">
        <f ca="1">IFERROR(SEARCH(INDIRECT(CELL("address")),B:B),0)</f>
        <v>0</v>
      </c>
      <c r="XDI81" s="6" t="str">
        <f ca="1">IFERROR(INDEX(Table_Projects_17[],MATCH(ROW(XDH80),XDG$2:XDG$1048576,0),1),"")</f>
        <v/>
      </c>
    </row>
    <row r="82" spans="1:1 16335:16337" x14ac:dyDescent="0.25">
      <c r="A82" s="5">
        <f ca="1">IF(ISNUMBER(SEARCH(INDIRECT(CELL("address")),Platforma_metis)),MAX(A$1:$A81)+1,0)</f>
        <v>0</v>
      </c>
      <c r="XDG82" s="6" t="str">
        <f ca="1">IF(XDH82=0,"",COUNTIF(A$1:$A82,"&gt;0"))</f>
        <v/>
      </c>
      <c r="XDH82" s="6">
        <f ca="1">IFERROR(SEARCH(INDIRECT(CELL("address")),B:B),0)</f>
        <v>0</v>
      </c>
      <c r="XDI82" s="6" t="str">
        <f ca="1">IFERROR(INDEX(Table_Projects_17[],MATCH(ROW(XDH81),XDG$2:XDG$1048576,0),1),"")</f>
        <v/>
      </c>
    </row>
    <row r="83" spans="1:1 16335:16337" x14ac:dyDescent="0.25">
      <c r="A83" s="5">
        <f ca="1">IF(ISNUMBER(SEARCH(INDIRECT(CELL("address")),Platforma_metis)),MAX(A$1:$A82)+1,0)</f>
        <v>0</v>
      </c>
      <c r="XDG83" s="6" t="str">
        <f ca="1">IF(XDH83=0,"",COUNTIF(A$1:$A83,"&gt;0"))</f>
        <v/>
      </c>
      <c r="XDH83" s="6">
        <f ca="1">IFERROR(SEARCH(INDIRECT(CELL("address")),B:B),0)</f>
        <v>0</v>
      </c>
      <c r="XDI83" s="6" t="str">
        <f ca="1">IFERROR(INDEX(Table_Projects_17[],MATCH(ROW(XDH82),XDG$2:XDG$1048576,0),1),"")</f>
        <v/>
      </c>
    </row>
    <row r="84" spans="1:1 16335:16337" x14ac:dyDescent="0.25">
      <c r="A84" s="5">
        <f ca="1">IF(ISNUMBER(SEARCH(INDIRECT(CELL("address")),Platforma_metis)),MAX(A$1:$A83)+1,0)</f>
        <v>0</v>
      </c>
      <c r="XDG84" s="6" t="str">
        <f ca="1">IF(XDH84=0,"",COUNTIF(A$1:$A84,"&gt;0"))</f>
        <v/>
      </c>
      <c r="XDH84" s="6">
        <f ca="1">IFERROR(SEARCH(INDIRECT(CELL("address")),B:B),0)</f>
        <v>0</v>
      </c>
      <c r="XDI84" s="6" t="str">
        <f ca="1">IFERROR(INDEX(Table_Projects_17[],MATCH(ROW(XDH83),XDG$2:XDG$1048576,0),1),"")</f>
        <v/>
      </c>
    </row>
    <row r="85" spans="1:1 16335:16337" x14ac:dyDescent="0.25">
      <c r="A85" s="5">
        <f ca="1">IF(ISNUMBER(SEARCH(INDIRECT(CELL("address")),Platforma_metis)),MAX(A$1:$A84)+1,0)</f>
        <v>0</v>
      </c>
      <c r="XDG85" s="6" t="str">
        <f ca="1">IF(XDH85=0,"",COUNTIF(A$1:$A85,"&gt;0"))</f>
        <v/>
      </c>
      <c r="XDH85" s="6">
        <f ca="1">IFERROR(SEARCH(INDIRECT(CELL("address")),B:B),0)</f>
        <v>0</v>
      </c>
      <c r="XDI85" s="6" t="str">
        <f ca="1">IFERROR(INDEX(Table_Projects_17[],MATCH(ROW(XDH84),XDG$2:XDG$1048576,0),1),"")</f>
        <v/>
      </c>
    </row>
    <row r="86" spans="1:1 16335:16337" x14ac:dyDescent="0.25">
      <c r="A86" s="5">
        <f ca="1">IF(ISNUMBER(SEARCH(INDIRECT(CELL("address")),Platforma_metis)),MAX(A$1:$A85)+1,0)</f>
        <v>0</v>
      </c>
      <c r="XDG86" s="6" t="str">
        <f ca="1">IF(XDH86=0,"",COUNTIF(A$1:$A86,"&gt;0"))</f>
        <v/>
      </c>
      <c r="XDH86" s="6">
        <f ca="1">IFERROR(SEARCH(INDIRECT(CELL("address")),B:B),0)</f>
        <v>0</v>
      </c>
      <c r="XDI86" s="6" t="str">
        <f ca="1">IFERROR(INDEX(Table_Projects_17[],MATCH(ROW(XDH85),XDG$2:XDG$1048576,0),1),"")</f>
        <v/>
      </c>
    </row>
    <row r="87" spans="1:1 16335:16337" x14ac:dyDescent="0.25">
      <c r="A87" s="5">
        <f ca="1">IF(ISNUMBER(SEARCH(INDIRECT(CELL("address")),Platforma_metis)),MAX(A$1:$A86)+1,0)</f>
        <v>0</v>
      </c>
      <c r="XDG87" s="6" t="str">
        <f ca="1">IF(XDH87=0,"",COUNTIF(A$1:$A87,"&gt;0"))</f>
        <v/>
      </c>
      <c r="XDH87" s="6">
        <f ca="1">IFERROR(SEARCH(INDIRECT(CELL("address")),B:B),0)</f>
        <v>0</v>
      </c>
      <c r="XDI87" s="6" t="str">
        <f ca="1">IFERROR(INDEX(Table_Projects_17[],MATCH(ROW(XDH86),XDG$2:XDG$1048576,0),1),"")</f>
        <v/>
      </c>
    </row>
    <row r="88" spans="1:1 16335:16337" x14ac:dyDescent="0.25">
      <c r="A88" s="5">
        <f ca="1">IF(ISNUMBER(SEARCH(INDIRECT(CELL("address")),Platforma_metis)),MAX(A$1:$A87)+1,0)</f>
        <v>0</v>
      </c>
      <c r="XDG88" s="6" t="str">
        <f ca="1">IF(XDH88=0,"",COUNTIF(A$1:$A88,"&gt;0"))</f>
        <v/>
      </c>
      <c r="XDH88" s="6">
        <f ca="1">IFERROR(SEARCH(INDIRECT(CELL("address")),B:B),0)</f>
        <v>0</v>
      </c>
      <c r="XDI88" s="6" t="str">
        <f ca="1">IFERROR(INDEX(Table_Projects_17[],MATCH(ROW(XDH87),XDG$2:XDG$1048576,0),1),"")</f>
        <v/>
      </c>
    </row>
    <row r="89" spans="1:1 16335:16337" x14ac:dyDescent="0.25">
      <c r="A89" s="5">
        <f ca="1">IF(ISNUMBER(SEARCH(INDIRECT(CELL("address")),Platforma_metis)),MAX(A$1:$A88)+1,0)</f>
        <v>0</v>
      </c>
      <c r="XDG89" s="6" t="str">
        <f ca="1">IF(XDH89=0,"",COUNTIF(A$1:$A89,"&gt;0"))</f>
        <v/>
      </c>
      <c r="XDH89" s="6">
        <f ca="1">IFERROR(SEARCH(INDIRECT(CELL("address")),B:B),0)</f>
        <v>0</v>
      </c>
      <c r="XDI89" s="6" t="str">
        <f ca="1">IFERROR(INDEX(Table_Projects_17[],MATCH(ROW(XDH88),XDG$2:XDG$1048576,0),1),"")</f>
        <v/>
      </c>
    </row>
    <row r="90" spans="1:1 16335:16337" x14ac:dyDescent="0.25">
      <c r="A90" s="5">
        <f ca="1">IF(ISNUMBER(SEARCH(INDIRECT(CELL("address")),Platforma_metis)),MAX(A$1:$A89)+1,0)</f>
        <v>0</v>
      </c>
      <c r="XDG90" s="6" t="str">
        <f ca="1">IF(XDH90=0,"",COUNTIF(A$1:$A90,"&gt;0"))</f>
        <v/>
      </c>
      <c r="XDH90" s="6">
        <f ca="1">IFERROR(SEARCH(INDIRECT(CELL("address")),B:B),0)</f>
        <v>0</v>
      </c>
      <c r="XDI90" s="6" t="str">
        <f ca="1">IFERROR(INDEX(Table_Projects_17[],MATCH(ROW(XDH89),XDG$2:XDG$1048576,0),1),"")</f>
        <v/>
      </c>
    </row>
    <row r="91" spans="1:1 16335:16337" x14ac:dyDescent="0.25">
      <c r="A91" s="5">
        <f ca="1">IF(ISNUMBER(SEARCH(INDIRECT(CELL("address")),Platforma_metis)),MAX(A$1:$A90)+1,0)</f>
        <v>0</v>
      </c>
      <c r="XDG91" s="6" t="str">
        <f ca="1">IF(XDH91=0,"",COUNTIF(A$1:$A91,"&gt;0"))</f>
        <v/>
      </c>
      <c r="XDH91" s="6">
        <f ca="1">IFERROR(SEARCH(INDIRECT(CELL("address")),B:B),0)</f>
        <v>0</v>
      </c>
      <c r="XDI91" s="6" t="str">
        <f ca="1">IFERROR(INDEX(Table_Projects_17[],MATCH(ROW(XDH90),XDG$2:XDG$1048576,0),1),"")</f>
        <v/>
      </c>
    </row>
    <row r="92" spans="1:1 16335:16337" x14ac:dyDescent="0.25">
      <c r="A92" s="5">
        <f ca="1">IF(ISNUMBER(SEARCH(INDIRECT(CELL("address")),Platforma_metis)),MAX(A$1:$A91)+1,0)</f>
        <v>0</v>
      </c>
      <c r="XDG92" s="6" t="str">
        <f ca="1">IF(XDH92=0,"",COUNTIF(A$1:$A92,"&gt;0"))</f>
        <v/>
      </c>
      <c r="XDH92" s="6">
        <f ca="1">IFERROR(SEARCH(INDIRECT(CELL("address")),B:B),0)</f>
        <v>0</v>
      </c>
      <c r="XDI92" s="6" t="str">
        <f ca="1">IFERROR(INDEX(Table_Projects_17[],MATCH(ROW(XDH91),XDG$2:XDG$1048576,0),1),"")</f>
        <v/>
      </c>
    </row>
    <row r="93" spans="1:1 16335:16337" x14ac:dyDescent="0.25">
      <c r="A93" s="5">
        <f ca="1">IF(ISNUMBER(SEARCH(INDIRECT(CELL("address")),Platforma_metis)),MAX(A$1:$A92)+1,0)</f>
        <v>0</v>
      </c>
      <c r="XDG93" s="6" t="str">
        <f ca="1">IF(XDH93=0,"",COUNTIF(A$1:$A93,"&gt;0"))</f>
        <v/>
      </c>
      <c r="XDH93" s="6">
        <f ca="1">IFERROR(SEARCH(INDIRECT(CELL("address")),B:B),0)</f>
        <v>0</v>
      </c>
      <c r="XDI93" s="6" t="str">
        <f ca="1">IFERROR(INDEX(Table_Projects_17[],MATCH(ROW(XDH92),XDG$2:XDG$1048576,0),1),"")</f>
        <v/>
      </c>
    </row>
    <row r="94" spans="1:1 16335:16337" x14ac:dyDescent="0.25">
      <c r="A94" s="5">
        <f ca="1">IF(ISNUMBER(SEARCH(INDIRECT(CELL("address")),Platforma_metis)),MAX(A$1:$A93)+1,0)</f>
        <v>0</v>
      </c>
      <c r="XDG94" s="6" t="str">
        <f ca="1">IF(XDH94=0,"",COUNTIF(A$1:$A94,"&gt;0"))</f>
        <v/>
      </c>
      <c r="XDH94" s="6">
        <f ca="1">IFERROR(SEARCH(INDIRECT(CELL("address")),B:B),0)</f>
        <v>0</v>
      </c>
      <c r="XDI94" s="6" t="str">
        <f ca="1">IFERROR(INDEX(Table_Projects_17[],MATCH(ROW(XDH93),XDG$2:XDG$1048576,0),1),"")</f>
        <v/>
      </c>
    </row>
    <row r="95" spans="1:1 16335:16337" x14ac:dyDescent="0.25">
      <c r="A95" s="5">
        <f ca="1">IF(ISNUMBER(SEARCH(INDIRECT(CELL("address")),Platforma_metis)),MAX(A$1:$A94)+1,0)</f>
        <v>0</v>
      </c>
      <c r="XDG95" s="6" t="str">
        <f ca="1">IF(XDH95=0,"",COUNTIF(A$1:$A95,"&gt;0"))</f>
        <v/>
      </c>
      <c r="XDH95" s="6">
        <f ca="1">IFERROR(SEARCH(INDIRECT(CELL("address")),B:B),0)</f>
        <v>0</v>
      </c>
      <c r="XDI95" s="6" t="str">
        <f ca="1">IFERROR(INDEX(Table_Projects_17[],MATCH(ROW(XDH94),XDG$2:XDG$1048576,0),1),"")</f>
        <v/>
      </c>
    </row>
    <row r="96" spans="1:1 16335:16337" x14ac:dyDescent="0.25">
      <c r="A96" s="5">
        <f ca="1">IF(ISNUMBER(SEARCH(INDIRECT(CELL("address")),Platforma_metis)),MAX(A$1:$A95)+1,0)</f>
        <v>0</v>
      </c>
      <c r="XDG96" s="6" t="str">
        <f ca="1">IF(XDH96=0,"",COUNTIF(A$1:$A96,"&gt;0"))</f>
        <v/>
      </c>
      <c r="XDH96" s="6">
        <f ca="1">IFERROR(SEARCH(INDIRECT(CELL("address")),B:B),0)</f>
        <v>0</v>
      </c>
      <c r="XDI96" s="6" t="str">
        <f ca="1">IFERROR(INDEX(Table_Projects_17[],MATCH(ROW(XDH95),XDG$2:XDG$1048576,0),1),"")</f>
        <v/>
      </c>
    </row>
    <row r="97" spans="1:1 16335:16337" x14ac:dyDescent="0.25">
      <c r="A97" s="5">
        <f ca="1">IF(ISNUMBER(SEARCH(INDIRECT(CELL("address")),Platforma_metis)),MAX(A$1:$A96)+1,0)</f>
        <v>0</v>
      </c>
      <c r="XDG97" s="6" t="str">
        <f ca="1">IF(XDH97=0,"",COUNTIF(A$1:$A97,"&gt;0"))</f>
        <v/>
      </c>
      <c r="XDH97" s="6">
        <f ca="1">IFERROR(SEARCH(INDIRECT(CELL("address")),B:B),0)</f>
        <v>0</v>
      </c>
      <c r="XDI97" s="6" t="str">
        <f ca="1">IFERROR(INDEX(Table_Projects_17[],MATCH(ROW(XDH96),XDG$2:XDG$1048576,0),1),"")</f>
        <v/>
      </c>
    </row>
    <row r="98" spans="1:1 16335:16337" x14ac:dyDescent="0.25">
      <c r="A98" s="5">
        <f ca="1">IF(ISNUMBER(SEARCH(INDIRECT(CELL("address")),Platforma_metis)),MAX(A$1:$A97)+1,0)</f>
        <v>0</v>
      </c>
      <c r="XDG98" s="6" t="str">
        <f ca="1">IF(XDH98=0,"",COUNTIF(A$1:$A98,"&gt;0"))</f>
        <v/>
      </c>
      <c r="XDH98" s="6">
        <f ca="1">IFERROR(SEARCH(INDIRECT(CELL("address")),B:B),0)</f>
        <v>0</v>
      </c>
      <c r="XDI98" s="6" t="str">
        <f ca="1">IFERROR(INDEX(Table_Projects_17[],MATCH(ROW(XDH97),XDG$2:XDG$1048576,0),1),"")</f>
        <v/>
      </c>
    </row>
    <row r="99" spans="1:1 16335:16337" x14ac:dyDescent="0.25">
      <c r="A99" s="5">
        <f ca="1">IF(ISNUMBER(SEARCH(INDIRECT(CELL("address")),Platforma_metis)),MAX(A$1:$A98)+1,0)</f>
        <v>0</v>
      </c>
      <c r="XDG99" s="6" t="str">
        <f ca="1">IF(XDH99=0,"",COUNTIF(A$1:$A99,"&gt;0"))</f>
        <v/>
      </c>
      <c r="XDH99" s="6">
        <f ca="1">IFERROR(SEARCH(INDIRECT(CELL("address")),B:B),0)</f>
        <v>0</v>
      </c>
      <c r="XDI99" s="6" t="str">
        <f ca="1">IFERROR(INDEX(Table_Projects_17[],MATCH(ROW(XDH98),XDG$2:XDG$1048576,0),1),"")</f>
        <v/>
      </c>
    </row>
    <row r="100" spans="1:1 16335:16337" x14ac:dyDescent="0.25">
      <c r="A100" s="5">
        <f ca="1">IF(ISNUMBER(SEARCH(INDIRECT(CELL("address")),Platforma_metis)),MAX(A$1:$A99)+1,0)</f>
        <v>0</v>
      </c>
      <c r="XDG100" s="6" t="str">
        <f ca="1">IF(XDH100=0,"",COUNTIF(A$1:$A100,"&gt;0"))</f>
        <v/>
      </c>
      <c r="XDH100" s="6">
        <f ca="1">IFERROR(SEARCH(INDIRECT(CELL("address")),B:B),0)</f>
        <v>0</v>
      </c>
      <c r="XDI100" s="6" t="str">
        <f ca="1">IFERROR(INDEX(Table_Projects_17[],MATCH(ROW(XDH99),XDG$2:XDG$1048576,0),1),"")</f>
        <v/>
      </c>
    </row>
    <row r="101" spans="1:1 16335:16337" x14ac:dyDescent="0.25">
      <c r="A101" s="5">
        <f ca="1">IF(ISNUMBER(SEARCH(INDIRECT(CELL("address")),Platforma_metis)),MAX(A$1:$A100)+1,0)</f>
        <v>0</v>
      </c>
      <c r="XDG101" s="6" t="str">
        <f ca="1">IF(XDH101=0,"",COUNTIF(A$1:$A101,"&gt;0"))</f>
        <v/>
      </c>
      <c r="XDH101" s="6">
        <f ca="1">IFERROR(SEARCH(INDIRECT(CELL("address")),B:B),0)</f>
        <v>0</v>
      </c>
      <c r="XDI101" s="6" t="str">
        <f ca="1">IFERROR(INDEX(Table_Projects_17[],MATCH(ROW(XDH100),XDG$2:XDG$1048576,0),1),"")</f>
        <v/>
      </c>
    </row>
    <row r="102" spans="1:1 16335:16337" x14ac:dyDescent="0.25">
      <c r="A102" s="5">
        <f ca="1">IF(ISNUMBER(SEARCH(INDIRECT(CELL("address")),Platforma_metis)),MAX(A$1:$A101)+1,0)</f>
        <v>0</v>
      </c>
      <c r="XDG102" s="6" t="str">
        <f ca="1">IF(XDH102=0,"",COUNTIF(A$1:$A102,"&gt;0"))</f>
        <v/>
      </c>
      <c r="XDH102" s="6">
        <f ca="1">IFERROR(SEARCH(INDIRECT(CELL("address")),B:B),0)</f>
        <v>0</v>
      </c>
      <c r="XDI102" s="6" t="str">
        <f ca="1">IFERROR(INDEX(Table_Projects_17[],MATCH(ROW(XDH101),XDG$2:XDG$1048576,0),1),"")</f>
        <v/>
      </c>
    </row>
    <row r="103" spans="1:1 16335:16337" x14ac:dyDescent="0.25">
      <c r="A103" s="5">
        <f ca="1">IF(ISNUMBER(SEARCH(INDIRECT(CELL("address")),Platforma_metis)),MAX(A$1:$A102)+1,0)</f>
        <v>0</v>
      </c>
      <c r="XDG103" s="6" t="str">
        <f ca="1">IF(XDH103=0,"",COUNTIF(A$1:$A103,"&gt;0"))</f>
        <v/>
      </c>
      <c r="XDH103" s="6">
        <f ca="1">IFERROR(SEARCH(INDIRECT(CELL("address")),B:B),0)</f>
        <v>0</v>
      </c>
      <c r="XDI103" s="6" t="str">
        <f ca="1">IFERROR(INDEX(Table_Projects_17[],MATCH(ROW(XDH102),XDG$2:XDG$1048576,0),1),"")</f>
        <v/>
      </c>
    </row>
    <row r="104" spans="1:1 16335:16337" x14ac:dyDescent="0.25">
      <c r="A104" s="5">
        <f ca="1">IF(ISNUMBER(SEARCH(INDIRECT(CELL("address")),Platforma_metis)),MAX(A$1:$A103)+1,0)</f>
        <v>0</v>
      </c>
      <c r="XDG104" s="6" t="str">
        <f ca="1">IF(XDH104=0,"",COUNTIF(A$1:$A104,"&gt;0"))</f>
        <v/>
      </c>
      <c r="XDH104" s="6">
        <f ca="1">IFERROR(SEARCH(INDIRECT(CELL("address")),B:B),0)</f>
        <v>0</v>
      </c>
      <c r="XDI104" s="6" t="str">
        <f ca="1">IFERROR(INDEX(Table_Projects_17[],MATCH(ROW(XDH103),XDG$2:XDG$1048576,0),1),"")</f>
        <v/>
      </c>
    </row>
    <row r="105" spans="1:1 16335:16337" x14ac:dyDescent="0.25">
      <c r="A105" s="5">
        <f ca="1">IF(ISNUMBER(SEARCH(INDIRECT(CELL("address")),Platforma_metis)),MAX(A$1:$A104)+1,0)</f>
        <v>0</v>
      </c>
      <c r="XDG105" s="6" t="str">
        <f ca="1">IF(XDH105=0,"",COUNTIF(A$1:$A105,"&gt;0"))</f>
        <v/>
      </c>
      <c r="XDH105" s="6">
        <f ca="1">IFERROR(SEARCH(INDIRECT(CELL("address")),B:B),0)</f>
        <v>0</v>
      </c>
      <c r="XDI105" s="6" t="str">
        <f ca="1">IFERROR(INDEX(Table_Projects_17[],MATCH(ROW(XDH104),XDG$2:XDG$1048576,0),1),"")</f>
        <v/>
      </c>
    </row>
    <row r="106" spans="1:1 16335:16337" x14ac:dyDescent="0.25">
      <c r="A106" s="5">
        <f ca="1">IF(ISNUMBER(SEARCH(INDIRECT(CELL("address")),Platforma_metis)),MAX(A$1:$A105)+1,0)</f>
        <v>0</v>
      </c>
      <c r="XDG106" s="6" t="str">
        <f ca="1">IF(XDH106=0,"",COUNTIF(A$1:$A106,"&gt;0"))</f>
        <v/>
      </c>
      <c r="XDH106" s="6">
        <f ca="1">IFERROR(SEARCH(INDIRECT(CELL("address")),B:B),0)</f>
        <v>0</v>
      </c>
      <c r="XDI106" s="6" t="str">
        <f ca="1">IFERROR(INDEX(Table_Projects_17[],MATCH(ROW(XDH105),XDG$2:XDG$1048576,0),1),"")</f>
        <v/>
      </c>
    </row>
    <row r="107" spans="1:1 16335:16337" x14ac:dyDescent="0.25">
      <c r="A107" s="5">
        <f ca="1">IF(ISNUMBER(SEARCH(INDIRECT(CELL("address")),Platforma_metis)),MAX(A$1:$A106)+1,0)</f>
        <v>0</v>
      </c>
      <c r="XDG107" s="6" t="str">
        <f ca="1">IF(XDH107=0,"",COUNTIF(A$1:$A107,"&gt;0"))</f>
        <v/>
      </c>
      <c r="XDH107" s="6">
        <f ca="1">IFERROR(SEARCH(INDIRECT(CELL("address")),B:B),0)</f>
        <v>0</v>
      </c>
      <c r="XDI107" s="6" t="str">
        <f ca="1">IFERROR(INDEX(Table_Projects_17[],MATCH(ROW(XDH106),XDG$2:XDG$1048576,0),1),"")</f>
        <v/>
      </c>
    </row>
    <row r="108" spans="1:1 16335:16337" x14ac:dyDescent="0.25">
      <c r="A108" s="5">
        <f ca="1">IF(ISNUMBER(SEARCH(INDIRECT(CELL("address")),Platforma_metis)),MAX(A$1:$A107)+1,0)</f>
        <v>0</v>
      </c>
      <c r="XDG108" s="6" t="str">
        <f ca="1">IF(XDH108=0,"",COUNTIF(A$1:$A108,"&gt;0"))</f>
        <v/>
      </c>
      <c r="XDH108" s="6">
        <f ca="1">IFERROR(SEARCH(INDIRECT(CELL("address")),B:B),0)</f>
        <v>0</v>
      </c>
      <c r="XDI108" s="6" t="str">
        <f ca="1">IFERROR(INDEX(Table_Projects_17[],MATCH(ROW(XDH107),XDG$2:XDG$1048576,0),1),"")</f>
        <v/>
      </c>
    </row>
    <row r="109" spans="1:1 16335:16337" x14ac:dyDescent="0.25">
      <c r="A109" s="5">
        <f ca="1">IF(ISNUMBER(SEARCH(INDIRECT(CELL("address")),Platforma_metis)),MAX(A$1:$A108)+1,0)</f>
        <v>0</v>
      </c>
      <c r="XDG109" s="6" t="str">
        <f ca="1">IF(XDH109=0,"",COUNTIF(A$1:$A109,"&gt;0"))</f>
        <v/>
      </c>
      <c r="XDH109" s="6">
        <f ca="1">IFERROR(SEARCH(INDIRECT(CELL("address")),B:B),0)</f>
        <v>0</v>
      </c>
      <c r="XDI109" s="6" t="str">
        <f ca="1">IFERROR(INDEX(Table_Projects_17[],MATCH(ROW(XDH108),XDG$2:XDG$1048576,0),1),"")</f>
        <v/>
      </c>
    </row>
    <row r="110" spans="1:1 16335:16337" x14ac:dyDescent="0.25">
      <c r="A110" s="5">
        <f ca="1">IF(ISNUMBER(SEARCH(INDIRECT(CELL("address")),Platforma_metis)),MAX(A$1:$A109)+1,0)</f>
        <v>0</v>
      </c>
      <c r="XDG110" s="6" t="str">
        <f ca="1">IF(XDH110=0,"",COUNTIF(A$1:$A110,"&gt;0"))</f>
        <v/>
      </c>
      <c r="XDH110" s="6">
        <f ca="1">IFERROR(SEARCH(INDIRECT(CELL("address")),B:B),0)</f>
        <v>0</v>
      </c>
      <c r="XDI110" s="6" t="str">
        <f ca="1">IFERROR(INDEX(Table_Projects_17[],MATCH(ROW(XDH109),XDG$2:XDG$1048576,0),1),"")</f>
        <v/>
      </c>
    </row>
    <row r="111" spans="1:1 16335:16337" x14ac:dyDescent="0.25">
      <c r="A111" s="5">
        <f ca="1">IF(ISNUMBER(SEARCH(INDIRECT(CELL("address")),Platforma_metis)),MAX(A$1:$A110)+1,0)</f>
        <v>0</v>
      </c>
      <c r="XDG111" s="6" t="str">
        <f ca="1">IF(XDH111=0,"",COUNTIF(A$1:$A111,"&gt;0"))</f>
        <v/>
      </c>
      <c r="XDH111" s="6">
        <f ca="1">IFERROR(SEARCH(INDIRECT(CELL("address")),B:B),0)</f>
        <v>0</v>
      </c>
      <c r="XDI111" s="6" t="str">
        <f ca="1">IFERROR(INDEX(Table_Projects_17[],MATCH(ROW(XDH110),XDG$2:XDG$1048576,0),1),"")</f>
        <v/>
      </c>
    </row>
    <row r="112" spans="1:1 16335:16337" x14ac:dyDescent="0.25">
      <c r="A112" s="5">
        <f ca="1">IF(ISNUMBER(SEARCH(INDIRECT(CELL("address")),Platforma_metis)),MAX(A$1:$A111)+1,0)</f>
        <v>0</v>
      </c>
      <c r="XDG112" s="6" t="str">
        <f ca="1">IF(XDH112=0,"",COUNTIF(A$1:$A112,"&gt;0"))</f>
        <v/>
      </c>
      <c r="XDH112" s="6">
        <f ca="1">IFERROR(SEARCH(INDIRECT(CELL("address")),B:B),0)</f>
        <v>0</v>
      </c>
      <c r="XDI112" s="6" t="str">
        <f ca="1">IFERROR(INDEX(Table_Projects_17[],MATCH(ROW(XDH111),XDG$2:XDG$1048576,0),1),"")</f>
        <v/>
      </c>
    </row>
    <row r="113" spans="1:1 16335:16337" x14ac:dyDescent="0.25">
      <c r="A113" s="5">
        <f ca="1">IF(ISNUMBER(SEARCH(INDIRECT(CELL("address")),Platforma_metis)),MAX(A$1:$A112)+1,0)</f>
        <v>0</v>
      </c>
      <c r="XDG113" s="6" t="str">
        <f ca="1">IF(XDH113=0,"",COUNTIF(A$1:$A113,"&gt;0"))</f>
        <v/>
      </c>
      <c r="XDH113" s="6">
        <f ca="1">IFERROR(SEARCH(INDIRECT(CELL("address")),B:B),0)</f>
        <v>0</v>
      </c>
      <c r="XDI113" s="6" t="str">
        <f ca="1">IFERROR(INDEX(Table_Projects_17[],MATCH(ROW(XDH112),XDG$2:XDG$1048576,0),1),"")</f>
        <v/>
      </c>
    </row>
    <row r="114" spans="1:1 16335:16337" x14ac:dyDescent="0.25">
      <c r="A114" s="5">
        <f ca="1">IF(ISNUMBER(SEARCH(INDIRECT(CELL("address")),Platforma_metis)),MAX(A$1:$A113)+1,0)</f>
        <v>0</v>
      </c>
      <c r="XDG114" s="6" t="str">
        <f ca="1">IF(XDH114=0,"",COUNTIF(A$1:$A114,"&gt;0"))</f>
        <v/>
      </c>
      <c r="XDH114" s="6">
        <f ca="1">IFERROR(SEARCH(INDIRECT(CELL("address")),B:B),0)</f>
        <v>0</v>
      </c>
      <c r="XDI114" s="6" t="str">
        <f ca="1">IFERROR(INDEX(Table_Projects_17[],MATCH(ROW(XDH113),XDG$2:XDG$1048576,0),1),"")</f>
        <v/>
      </c>
    </row>
    <row r="115" spans="1:1 16335:16337" x14ac:dyDescent="0.25">
      <c r="A115" s="5">
        <f ca="1">IF(ISNUMBER(SEARCH(INDIRECT(CELL("address")),Platforma_metis)),MAX(A$1:$A114)+1,0)</f>
        <v>0</v>
      </c>
      <c r="XDG115" s="6" t="str">
        <f ca="1">IF(XDH115=0,"",COUNTIF(A$1:$A115,"&gt;0"))</f>
        <v/>
      </c>
      <c r="XDH115" s="6">
        <f ca="1">IFERROR(SEARCH(INDIRECT(CELL("address")),B:B),0)</f>
        <v>0</v>
      </c>
      <c r="XDI115" s="6" t="str">
        <f ca="1">IFERROR(INDEX(Table_Projects_17[],MATCH(ROW(XDH114),XDG$2:XDG$1048576,0),1),"")</f>
        <v/>
      </c>
    </row>
    <row r="116" spans="1:1 16335:16337" x14ac:dyDescent="0.25">
      <c r="A116" s="5">
        <f ca="1">IF(ISNUMBER(SEARCH(INDIRECT(CELL("address")),Platforma_metis)),MAX(A$1:$A115)+1,0)</f>
        <v>0</v>
      </c>
      <c r="XDG116" s="6" t="str">
        <f ca="1">IF(XDH116=0,"",COUNTIF(A$1:$A116,"&gt;0"))</f>
        <v/>
      </c>
      <c r="XDH116" s="6">
        <f ca="1">IFERROR(SEARCH(INDIRECT(CELL("address")),B:B),0)</f>
        <v>0</v>
      </c>
      <c r="XDI116" s="6" t="str">
        <f ca="1">IFERROR(INDEX(Table_Projects_17[],MATCH(ROW(XDH115),XDG$2:XDG$1048576,0),1),"")</f>
        <v/>
      </c>
    </row>
    <row r="117" spans="1:1 16335:16337" x14ac:dyDescent="0.25">
      <c r="A117" s="5">
        <f ca="1">IF(ISNUMBER(SEARCH(INDIRECT(CELL("address")),Platforma_metis)),MAX(A$1:$A116)+1,0)</f>
        <v>0</v>
      </c>
      <c r="XDG117" s="6" t="str">
        <f ca="1">IF(XDH117=0,"",COUNTIF(A$1:$A117,"&gt;0"))</f>
        <v/>
      </c>
      <c r="XDH117" s="6">
        <f ca="1">IFERROR(SEARCH(INDIRECT(CELL("address")),B:B),0)</f>
        <v>0</v>
      </c>
      <c r="XDI117" s="6" t="str">
        <f ca="1">IFERROR(INDEX(Table_Projects_17[],MATCH(ROW(XDH116),XDG$2:XDG$1048576,0),1),"")</f>
        <v/>
      </c>
    </row>
    <row r="118" spans="1:1 16335:16337" x14ac:dyDescent="0.25">
      <c r="A118" s="5">
        <f ca="1">IF(ISNUMBER(SEARCH(INDIRECT(CELL("address")),Platforma_metis)),MAX(A$1:$A117)+1,0)</f>
        <v>0</v>
      </c>
      <c r="XDG118" s="6" t="str">
        <f ca="1">IF(XDH118=0,"",COUNTIF(A$1:$A118,"&gt;0"))</f>
        <v/>
      </c>
      <c r="XDH118" s="6">
        <f ca="1">IFERROR(SEARCH(INDIRECT(CELL("address")),B:B),0)</f>
        <v>0</v>
      </c>
      <c r="XDI118" s="6" t="str">
        <f ca="1">IFERROR(INDEX(Table_Projects_17[],MATCH(ROW(XDH117),XDG$2:XDG$1048576,0),1),"")</f>
        <v/>
      </c>
    </row>
    <row r="119" spans="1:1 16335:16337" x14ac:dyDescent="0.25">
      <c r="A119" s="5">
        <f ca="1">IF(ISNUMBER(SEARCH(INDIRECT(CELL("address")),Platforma_metis)),MAX(A$1:$A118)+1,0)</f>
        <v>0</v>
      </c>
      <c r="XDG119" s="6" t="str">
        <f ca="1">IF(XDH119=0,"",COUNTIF(A$1:$A119,"&gt;0"))</f>
        <v/>
      </c>
      <c r="XDH119" s="6">
        <f ca="1">IFERROR(SEARCH(INDIRECT(CELL("address")),B:B),0)</f>
        <v>0</v>
      </c>
      <c r="XDI119" s="6" t="str">
        <f ca="1">IFERROR(INDEX(Table_Projects_17[],MATCH(ROW(XDH118),XDG$2:XDG$1048576,0),1),"")</f>
        <v/>
      </c>
    </row>
    <row r="120" spans="1:1 16335:16337" x14ac:dyDescent="0.25">
      <c r="A120" s="5">
        <f ca="1">IF(ISNUMBER(SEARCH(INDIRECT(CELL("address")),Platforma_metis)),MAX(A$1:$A119)+1,0)</f>
        <v>0</v>
      </c>
      <c r="XDG120" s="6" t="str">
        <f ca="1">IF(XDH120=0,"",COUNTIF(A$1:$A120,"&gt;0"))</f>
        <v/>
      </c>
      <c r="XDH120" s="6">
        <f ca="1">IFERROR(SEARCH(INDIRECT(CELL("address")),B:B),0)</f>
        <v>0</v>
      </c>
      <c r="XDI120" s="6" t="str">
        <f ca="1">IFERROR(INDEX(Table_Projects_17[],MATCH(ROW(XDH119),XDG$2:XDG$1048576,0),1),"")</f>
        <v/>
      </c>
    </row>
    <row r="121" spans="1:1 16335:16337" x14ac:dyDescent="0.25">
      <c r="A121" s="5">
        <f ca="1">IF(ISNUMBER(SEARCH(INDIRECT(CELL("address")),Platforma_metis)),MAX(A$1:$A120)+1,0)</f>
        <v>0</v>
      </c>
      <c r="XDG121" s="6" t="str">
        <f ca="1">IF(XDH121=0,"",COUNTIF(A$1:$A121,"&gt;0"))</f>
        <v/>
      </c>
      <c r="XDH121" s="6">
        <f ca="1">IFERROR(SEARCH(INDIRECT(CELL("address")),B:B),0)</f>
        <v>0</v>
      </c>
      <c r="XDI121" s="6" t="str">
        <f ca="1">IFERROR(INDEX(Table_Projects_17[],MATCH(ROW(XDH120),XDG$2:XDG$1048576,0),1),"")</f>
        <v/>
      </c>
    </row>
    <row r="122" spans="1:1 16335:16337" x14ac:dyDescent="0.25">
      <c r="A122" s="5">
        <f ca="1">IF(ISNUMBER(SEARCH(INDIRECT(CELL("address")),Platforma_metis)),MAX(A$1:$A121)+1,0)</f>
        <v>0</v>
      </c>
      <c r="XDG122" s="6" t="str">
        <f ca="1">IF(XDH122=0,"",COUNTIF(A$1:$A122,"&gt;0"))</f>
        <v/>
      </c>
      <c r="XDH122" s="6">
        <f ca="1">IFERROR(SEARCH(INDIRECT(CELL("address")),B:B),0)</f>
        <v>0</v>
      </c>
      <c r="XDI122" s="6" t="str">
        <f ca="1">IFERROR(INDEX(Table_Projects_17[],MATCH(ROW(XDH121),XDG$2:XDG$1048576,0),1),"")</f>
        <v/>
      </c>
    </row>
    <row r="123" spans="1:1 16335:16337" x14ac:dyDescent="0.25">
      <c r="A123" s="5">
        <f ca="1">IF(ISNUMBER(SEARCH(INDIRECT(CELL("address")),Platforma_metis)),MAX(A$1:$A122)+1,0)</f>
        <v>0</v>
      </c>
      <c r="XDG123" s="6" t="str">
        <f ca="1">IF(XDH123=0,"",COUNTIF(A$1:$A123,"&gt;0"))</f>
        <v/>
      </c>
      <c r="XDH123" s="6">
        <f ca="1">IFERROR(SEARCH(INDIRECT(CELL("address")),B:B),0)</f>
        <v>0</v>
      </c>
      <c r="XDI123" s="6" t="str">
        <f ca="1">IFERROR(INDEX(Table_Projects_17[],MATCH(ROW(XDH122),XDG$2:XDG$1048576,0),1),"")</f>
        <v/>
      </c>
    </row>
    <row r="124" spans="1:1 16335:16337" x14ac:dyDescent="0.25">
      <c r="A124" s="5">
        <f ca="1">IF(ISNUMBER(SEARCH(INDIRECT(CELL("address")),Platforma_metis)),MAX(A$1:$A123)+1,0)</f>
        <v>0</v>
      </c>
      <c r="XDG124" s="6" t="str">
        <f ca="1">IF(XDH124=0,"",COUNTIF(A$1:$A124,"&gt;0"))</f>
        <v/>
      </c>
      <c r="XDH124" s="6">
        <f ca="1">IFERROR(SEARCH(INDIRECT(CELL("address")),B:B),0)</f>
        <v>0</v>
      </c>
      <c r="XDI124" s="6" t="str">
        <f ca="1">IFERROR(INDEX(Table_Projects_17[],MATCH(ROW(XDH123),XDG$2:XDG$1048576,0),1),"")</f>
        <v/>
      </c>
    </row>
    <row r="125" spans="1:1 16335:16337" x14ac:dyDescent="0.25">
      <c r="A125" s="5">
        <f ca="1">IF(ISNUMBER(SEARCH(INDIRECT(CELL("address")),Platforma_metis)),MAX(A$1:$A124)+1,0)</f>
        <v>0</v>
      </c>
      <c r="XDG125" s="6" t="str">
        <f ca="1">IF(XDH125=0,"",COUNTIF(A$1:$A125,"&gt;0"))</f>
        <v/>
      </c>
      <c r="XDH125" s="6">
        <f ca="1">IFERROR(SEARCH(INDIRECT(CELL("address")),B:B),0)</f>
        <v>0</v>
      </c>
      <c r="XDI125" s="6" t="str">
        <f ca="1">IFERROR(INDEX(Table_Projects_17[],MATCH(ROW(XDH124),XDG$2:XDG$1048576,0),1),"")</f>
        <v/>
      </c>
    </row>
    <row r="126" spans="1:1 16335:16337" x14ac:dyDescent="0.25">
      <c r="A126" s="5">
        <f ca="1">IF(ISNUMBER(SEARCH(INDIRECT(CELL("address")),Platforma_metis)),MAX(A$1:$A125)+1,0)</f>
        <v>0</v>
      </c>
      <c r="XDG126" s="6" t="str">
        <f ca="1">IF(XDH126=0,"",COUNTIF(A$1:$A126,"&gt;0"))</f>
        <v/>
      </c>
      <c r="XDH126" s="6">
        <f ca="1">IFERROR(SEARCH(INDIRECT(CELL("address")),B:B),0)</f>
        <v>0</v>
      </c>
      <c r="XDI126" s="6" t="str">
        <f ca="1">IFERROR(INDEX(Table_Projects_17[],MATCH(ROW(XDH125),XDG$2:XDG$1048576,0),1),"")</f>
        <v/>
      </c>
    </row>
    <row r="127" spans="1:1 16335:16337" x14ac:dyDescent="0.25">
      <c r="A127" s="5">
        <f ca="1">IF(ISNUMBER(SEARCH(INDIRECT(CELL("address")),Platforma_metis)),MAX(A$1:$A126)+1,0)</f>
        <v>0</v>
      </c>
      <c r="XDG127" s="6" t="str">
        <f ca="1">IF(XDH127=0,"",COUNTIF(A$1:$A127,"&gt;0"))</f>
        <v/>
      </c>
      <c r="XDH127" s="6">
        <f ca="1">IFERROR(SEARCH(INDIRECT(CELL("address")),B:B),0)</f>
        <v>0</v>
      </c>
      <c r="XDI127" s="6" t="str">
        <f ca="1">IFERROR(INDEX(Table_Projects_17[],MATCH(ROW(XDH126),XDG$2:XDG$1048576,0),1),"")</f>
        <v/>
      </c>
    </row>
    <row r="128" spans="1:1 16335:16337" x14ac:dyDescent="0.25">
      <c r="A128" s="5">
        <f ca="1">IF(ISNUMBER(SEARCH(INDIRECT(CELL("address")),Platforma_metis)),MAX(A$1:$A127)+1,0)</f>
        <v>0</v>
      </c>
      <c r="XDG128" s="6" t="str">
        <f ca="1">IF(XDH128=0,"",COUNTIF(A$1:$A128,"&gt;0"))</f>
        <v/>
      </c>
      <c r="XDH128" s="6">
        <f ca="1">IFERROR(SEARCH(INDIRECT(CELL("address")),B:B),0)</f>
        <v>0</v>
      </c>
      <c r="XDI128" s="6" t="str">
        <f ca="1">IFERROR(INDEX(Table_Projects_17[],MATCH(ROW(XDH127),XDG$2:XDG$1048576,0),1),"")</f>
        <v/>
      </c>
    </row>
    <row r="129" spans="1:1 16335:16337" x14ac:dyDescent="0.25">
      <c r="A129" s="5">
        <f ca="1">IF(ISNUMBER(SEARCH(INDIRECT(CELL("address")),Platforma_metis)),MAX(A$1:$A128)+1,0)</f>
        <v>0</v>
      </c>
      <c r="XDG129" s="6" t="str">
        <f ca="1">IF(XDH129=0,"",COUNTIF(A$1:$A129,"&gt;0"))</f>
        <v/>
      </c>
      <c r="XDH129" s="6">
        <f ca="1">IFERROR(SEARCH(INDIRECT(CELL("address")),B:B),0)</f>
        <v>0</v>
      </c>
      <c r="XDI129" s="6" t="str">
        <f ca="1">IFERROR(INDEX(Table_Projects_17[],MATCH(ROW(XDH128),XDG$2:XDG$1048576,0),1),"")</f>
        <v/>
      </c>
    </row>
    <row r="130" spans="1:1 16335:16337" x14ac:dyDescent="0.25">
      <c r="A130" s="5">
        <f ca="1">IF(ISNUMBER(SEARCH(INDIRECT(CELL("address")),Platforma_metis)),MAX(A$1:$A129)+1,0)</f>
        <v>0</v>
      </c>
      <c r="XDG130" s="6" t="str">
        <f ca="1">IF(XDH130=0,"",COUNTIF(A$1:$A130,"&gt;0"))</f>
        <v/>
      </c>
      <c r="XDH130" s="6">
        <f ca="1">IFERROR(SEARCH(INDIRECT(CELL("address")),B:B),0)</f>
        <v>0</v>
      </c>
      <c r="XDI130" s="6" t="str">
        <f ca="1">IFERROR(INDEX(Table_Projects_17[],MATCH(ROW(XDH129),XDG$2:XDG$1048576,0),1),"")</f>
        <v/>
      </c>
    </row>
    <row r="131" spans="1:1 16335:16337" x14ac:dyDescent="0.25">
      <c r="A131" s="5">
        <f ca="1">IF(ISNUMBER(SEARCH(INDIRECT(CELL("address")),Platforma_metis)),MAX(A$1:$A130)+1,0)</f>
        <v>0</v>
      </c>
      <c r="XDG131" s="6" t="str">
        <f ca="1">IF(XDH131=0,"",COUNTIF(A$1:$A131,"&gt;0"))</f>
        <v/>
      </c>
      <c r="XDH131" s="6">
        <f ca="1">IFERROR(SEARCH(INDIRECT(CELL("address")),B:B),0)</f>
        <v>0</v>
      </c>
      <c r="XDI131" s="6" t="str">
        <f ca="1">IFERROR(INDEX(Table_Projects_17[],MATCH(ROW(XDH130),XDG$2:XDG$1048576,0),1),"")</f>
        <v/>
      </c>
    </row>
    <row r="132" spans="1:1 16335:16337" x14ac:dyDescent="0.25">
      <c r="A132" s="5">
        <f ca="1">IF(ISNUMBER(SEARCH(INDIRECT(CELL("address")),Platforma_metis)),MAX(A$1:$A131)+1,0)</f>
        <v>0</v>
      </c>
      <c r="XDG132" s="6" t="str">
        <f ca="1">IF(XDH132=0,"",COUNTIF(A$1:$A132,"&gt;0"))</f>
        <v/>
      </c>
      <c r="XDH132" s="6">
        <f ca="1">IFERROR(SEARCH(INDIRECT(CELL("address")),B:B),0)</f>
        <v>0</v>
      </c>
      <c r="XDI132" s="6" t="str">
        <f ca="1">IFERROR(INDEX(Table_Projects_17[],MATCH(ROW(XDH131),XDG$2:XDG$1048576,0),1),"")</f>
        <v/>
      </c>
    </row>
    <row r="133" spans="1:1 16335:16337" x14ac:dyDescent="0.25">
      <c r="A133" s="5">
        <f ca="1">IF(ISNUMBER(SEARCH(INDIRECT(CELL("address")),Platforma_metis)),MAX(A$1:$A132)+1,0)</f>
        <v>0</v>
      </c>
      <c r="XDG133" s="6" t="str">
        <f ca="1">IF(XDH133=0,"",COUNTIF(A$1:$A133,"&gt;0"))</f>
        <v/>
      </c>
      <c r="XDH133" s="6">
        <f ca="1">IFERROR(SEARCH(INDIRECT(CELL("address")),B:B),0)</f>
        <v>0</v>
      </c>
      <c r="XDI133" s="6" t="str">
        <f ca="1">IFERROR(INDEX(Table_Projects_17[],MATCH(ROW(XDH132),XDG$2:XDG$1048576,0),1),"")</f>
        <v/>
      </c>
    </row>
    <row r="134" spans="1:1 16335:16337" x14ac:dyDescent="0.25">
      <c r="A134" s="5">
        <f ca="1">IF(ISNUMBER(SEARCH(INDIRECT(CELL("address")),Platforma_metis)),MAX(A$1:$A133)+1,0)</f>
        <v>0</v>
      </c>
      <c r="XDG134" s="6" t="str">
        <f ca="1">IF(XDH134=0,"",COUNTIF(A$1:$A134,"&gt;0"))</f>
        <v/>
      </c>
      <c r="XDH134" s="6">
        <f ca="1">IFERROR(SEARCH(INDIRECT(CELL("address")),B:B),0)</f>
        <v>0</v>
      </c>
      <c r="XDI134" s="6" t="str">
        <f ca="1">IFERROR(INDEX(Table_Projects_17[],MATCH(ROW(XDH133),XDG$2:XDG$1048576,0),1),"")</f>
        <v/>
      </c>
    </row>
    <row r="135" spans="1:1 16335:16337" x14ac:dyDescent="0.25">
      <c r="A135" s="5">
        <f ca="1">IF(ISNUMBER(SEARCH(INDIRECT(CELL("address")),Platforma_metis)),MAX(A$1:$A134)+1,0)</f>
        <v>0</v>
      </c>
      <c r="XDG135" s="6" t="str">
        <f ca="1">IF(XDH135=0,"",COUNTIF(A$1:$A135,"&gt;0"))</f>
        <v/>
      </c>
      <c r="XDH135" s="6">
        <f ca="1">IFERROR(SEARCH(INDIRECT(CELL("address")),B:B),0)</f>
        <v>0</v>
      </c>
      <c r="XDI135" s="6" t="str">
        <f ca="1">IFERROR(INDEX(Table_Projects_17[],MATCH(ROW(XDH134),XDG$2:XDG$1048576,0),1),"")</f>
        <v/>
      </c>
    </row>
    <row r="136" spans="1:1 16335:16337" x14ac:dyDescent="0.25">
      <c r="A136" s="5">
        <f ca="1">IF(ISNUMBER(SEARCH(INDIRECT(CELL("address")),Platforma_metis)),MAX(A$1:$A135)+1,0)</f>
        <v>0</v>
      </c>
      <c r="XDG136" s="6" t="str">
        <f ca="1">IF(XDH136=0,"",COUNTIF(A$1:$A136,"&gt;0"))</f>
        <v/>
      </c>
      <c r="XDH136" s="6">
        <f ca="1">IFERROR(SEARCH(INDIRECT(CELL("address")),B:B),0)</f>
        <v>0</v>
      </c>
      <c r="XDI136" s="6" t="str">
        <f ca="1">IFERROR(INDEX(Table_Projects_17[],MATCH(ROW(XDH135),XDG$2:XDG$1048576,0),1),"")</f>
        <v/>
      </c>
    </row>
    <row r="137" spans="1:1 16335:16337" x14ac:dyDescent="0.25">
      <c r="A137" s="5">
        <f ca="1">IF(ISNUMBER(SEARCH(INDIRECT(CELL("address")),Platforma_metis)),MAX(A$1:$A136)+1,0)</f>
        <v>0</v>
      </c>
      <c r="XDG137" s="6" t="str">
        <f ca="1">IF(XDH137=0,"",COUNTIF(A$1:$A137,"&gt;0"))</f>
        <v/>
      </c>
      <c r="XDH137" s="6">
        <f ca="1">IFERROR(SEARCH(INDIRECT(CELL("address")),B:B),0)</f>
        <v>0</v>
      </c>
      <c r="XDI137" s="6" t="str">
        <f ca="1">IFERROR(INDEX(Table_Projects_17[],MATCH(ROW(XDH136),XDG$2:XDG$1048576,0),1),"")</f>
        <v/>
      </c>
    </row>
    <row r="138" spans="1:1 16335:16337" x14ac:dyDescent="0.25">
      <c r="A138" s="5">
        <f ca="1">IF(ISNUMBER(SEARCH(INDIRECT(CELL("address")),Platforma_metis)),MAX(A$1:$A137)+1,0)</f>
        <v>0</v>
      </c>
      <c r="XDG138" s="6" t="str">
        <f ca="1">IF(XDH138=0,"",COUNTIF(A$1:$A138,"&gt;0"))</f>
        <v/>
      </c>
      <c r="XDH138" s="6">
        <f ca="1">IFERROR(SEARCH(INDIRECT(CELL("address")),B:B),0)</f>
        <v>0</v>
      </c>
      <c r="XDI138" s="6" t="str">
        <f ca="1">IFERROR(INDEX(Table_Projects_17[],MATCH(ROW(XDH137),XDG$2:XDG$1048576,0),1),"")</f>
        <v/>
      </c>
    </row>
    <row r="139" spans="1:1 16335:16337" x14ac:dyDescent="0.25">
      <c r="A139" s="5">
        <f ca="1">IF(ISNUMBER(SEARCH(INDIRECT(CELL("address")),Platforma_metis)),MAX(A$1:$A138)+1,0)</f>
        <v>0</v>
      </c>
      <c r="XDG139" s="6" t="str">
        <f ca="1">IF(XDH139=0,"",COUNTIF(A$1:$A139,"&gt;0"))</f>
        <v/>
      </c>
      <c r="XDH139" s="6">
        <f ca="1">IFERROR(SEARCH(INDIRECT(CELL("address")),B:B),0)</f>
        <v>0</v>
      </c>
      <c r="XDI139" s="6" t="str">
        <f ca="1">IFERROR(INDEX(Table_Projects_17[],MATCH(ROW(XDH138),XDG$2:XDG$1048576,0),1),"")</f>
        <v/>
      </c>
    </row>
    <row r="140" spans="1:1 16335:16337" x14ac:dyDescent="0.25">
      <c r="A140" s="5">
        <f ca="1">IF(ISNUMBER(SEARCH(INDIRECT(CELL("address")),Platforma_metis)),MAX(A$1:$A139)+1,0)</f>
        <v>0</v>
      </c>
      <c r="XDG140" s="6" t="str">
        <f ca="1">IF(XDH140=0,"",COUNTIF(A$1:$A140,"&gt;0"))</f>
        <v/>
      </c>
      <c r="XDH140" s="6">
        <f ca="1">IFERROR(SEARCH(INDIRECT(CELL("address")),B:B),0)</f>
        <v>0</v>
      </c>
      <c r="XDI140" s="6" t="str">
        <f ca="1">IFERROR(INDEX(Table_Projects_17[],MATCH(ROW(XDH139),XDG$2:XDG$1048576,0),1),"")</f>
        <v/>
      </c>
    </row>
    <row r="141" spans="1:1 16335:16337" x14ac:dyDescent="0.25">
      <c r="A141" s="5">
        <f ca="1">IF(ISNUMBER(SEARCH(INDIRECT(CELL("address")),Platforma_metis)),MAX(A$1:$A140)+1,0)</f>
        <v>0</v>
      </c>
      <c r="XDG141" s="6" t="str">
        <f ca="1">IF(XDH141=0,"",COUNTIF(A$1:$A141,"&gt;0"))</f>
        <v/>
      </c>
      <c r="XDH141" s="6">
        <f ca="1">IFERROR(SEARCH(INDIRECT(CELL("address")),B:B),0)</f>
        <v>0</v>
      </c>
      <c r="XDI141" s="6" t="str">
        <f ca="1">IFERROR(INDEX(Table_Projects_17[],MATCH(ROW(XDH140),XDG$2:XDG$1048576,0),1),"")</f>
        <v/>
      </c>
    </row>
    <row r="142" spans="1:1 16335:16337" x14ac:dyDescent="0.25">
      <c r="A142" s="5">
        <f ca="1">IF(ISNUMBER(SEARCH(INDIRECT(CELL("address")),Platforma_metis)),MAX(A$1:$A141)+1,0)</f>
        <v>0</v>
      </c>
      <c r="XDG142" s="6" t="str">
        <f ca="1">IF(XDH142=0,"",COUNTIF(A$1:$A142,"&gt;0"))</f>
        <v/>
      </c>
      <c r="XDH142" s="6">
        <f ca="1">IFERROR(SEARCH(INDIRECT(CELL("address")),B:B),0)</f>
        <v>0</v>
      </c>
      <c r="XDI142" s="6" t="str">
        <f ca="1">IFERROR(INDEX(Table_Projects_17[],MATCH(ROW(XDH141),XDG$2:XDG$1048576,0),1),"")</f>
        <v/>
      </c>
    </row>
    <row r="143" spans="1:1 16335:16337" x14ac:dyDescent="0.25">
      <c r="A143" s="5">
        <f ca="1">IF(ISNUMBER(SEARCH(INDIRECT(CELL("address")),Platforma_metis)),MAX(A$1:$A142)+1,0)</f>
        <v>0</v>
      </c>
      <c r="XDG143" s="6" t="str">
        <f ca="1">IF(XDH143=0,"",COUNTIF(A$1:$A143,"&gt;0"))</f>
        <v/>
      </c>
      <c r="XDH143" s="6">
        <f ca="1">IFERROR(SEARCH(INDIRECT(CELL("address")),B:B),0)</f>
        <v>0</v>
      </c>
      <c r="XDI143" s="6" t="str">
        <f ca="1">IFERROR(INDEX(Table_Projects_17[],MATCH(ROW(XDH142),XDG$2:XDG$1048576,0),1),"")</f>
        <v/>
      </c>
    </row>
    <row r="144" spans="1:1 16335:16337" x14ac:dyDescent="0.25">
      <c r="A144" s="5">
        <f ca="1">IF(ISNUMBER(SEARCH(INDIRECT(CELL("address")),Platforma_metis)),MAX(A$1:$A143)+1,0)</f>
        <v>0</v>
      </c>
      <c r="XDG144" s="6" t="str">
        <f ca="1">IF(XDH144=0,"",COUNTIF(A$1:$A144,"&gt;0"))</f>
        <v/>
      </c>
      <c r="XDH144" s="6">
        <f ca="1">IFERROR(SEARCH(INDIRECT(CELL("address")),B:B),0)</f>
        <v>0</v>
      </c>
      <c r="XDI144" s="6" t="str">
        <f ca="1">IFERROR(INDEX(Table_Projects_17[],MATCH(ROW(XDH143),XDG$2:XDG$1048576,0),1),"")</f>
        <v/>
      </c>
    </row>
    <row r="145" spans="1:1 16335:16337" x14ac:dyDescent="0.25">
      <c r="A145" s="5">
        <f ca="1">IF(ISNUMBER(SEARCH(INDIRECT(CELL("address")),Platforma_metis)),MAX(A$1:$A144)+1,0)</f>
        <v>0</v>
      </c>
      <c r="XDG145" s="6" t="str">
        <f ca="1">IF(XDH145=0,"",COUNTIF(A$1:$A145,"&gt;0"))</f>
        <v/>
      </c>
      <c r="XDH145" s="6">
        <f ca="1">IFERROR(SEARCH(INDIRECT(CELL("address")),B:B),0)</f>
        <v>0</v>
      </c>
      <c r="XDI145" s="6" t="str">
        <f ca="1">IFERROR(INDEX(Table_Projects_17[],MATCH(ROW(XDH144),XDG$2:XDG$1048576,0),1),"")</f>
        <v/>
      </c>
    </row>
    <row r="146" spans="1:1 16335:16337" x14ac:dyDescent="0.25">
      <c r="A146" s="5">
        <f ca="1">IF(ISNUMBER(SEARCH(INDIRECT(CELL("address")),Platforma_metis)),MAX(A$1:$A145)+1,0)</f>
        <v>0</v>
      </c>
      <c r="XDG146" s="6" t="str">
        <f ca="1">IF(XDH146=0,"",COUNTIF(A$1:$A146,"&gt;0"))</f>
        <v/>
      </c>
      <c r="XDH146" s="6">
        <f ca="1">IFERROR(SEARCH(INDIRECT(CELL("address")),B:B),0)</f>
        <v>0</v>
      </c>
      <c r="XDI146" s="6" t="str">
        <f ca="1">IFERROR(INDEX(Table_Projects_17[],MATCH(ROW(XDH145),XDG$2:XDG$1048576,0),1),"")</f>
        <v/>
      </c>
    </row>
    <row r="147" spans="1:1 16335:16337" x14ac:dyDescent="0.25">
      <c r="A147" s="5">
        <f ca="1">IF(ISNUMBER(SEARCH(INDIRECT(CELL("address")),Platforma_metis)),MAX(A$1:$A146)+1,0)</f>
        <v>0</v>
      </c>
      <c r="XDG147" s="6" t="str">
        <f ca="1">IF(XDH147=0,"",COUNTIF(A$1:$A147,"&gt;0"))</f>
        <v/>
      </c>
      <c r="XDH147" s="6">
        <f ca="1">IFERROR(SEARCH(INDIRECT(CELL("address")),B:B),0)</f>
        <v>0</v>
      </c>
      <c r="XDI147" s="6" t="str">
        <f ca="1">IFERROR(INDEX(Table_Projects_17[],MATCH(ROW(XDH146),XDG$2:XDG$1048576,0),1),"")</f>
        <v/>
      </c>
    </row>
    <row r="148" spans="1:1 16335:16337" x14ac:dyDescent="0.25">
      <c r="A148" s="5">
        <f ca="1">IF(ISNUMBER(SEARCH(INDIRECT(CELL("address")),Platforma_metis)),MAX(A$1:$A147)+1,0)</f>
        <v>0</v>
      </c>
      <c r="XDG148" s="6" t="str">
        <f ca="1">IF(XDH148=0,"",COUNTIF(A$1:$A148,"&gt;0"))</f>
        <v/>
      </c>
      <c r="XDH148" s="6">
        <f ca="1">IFERROR(SEARCH(INDIRECT(CELL("address")),B:B),0)</f>
        <v>0</v>
      </c>
      <c r="XDI148" s="6" t="str">
        <f ca="1">IFERROR(INDEX(Table_Projects_17[],MATCH(ROW(XDH147),XDG$2:XDG$1048576,0),1),"")</f>
        <v/>
      </c>
    </row>
    <row r="149" spans="1:1 16335:16337" x14ac:dyDescent="0.25">
      <c r="A149" s="5">
        <f ca="1">IF(ISNUMBER(SEARCH(INDIRECT(CELL("address")),Platforma_metis)),MAX(A$1:$A148)+1,0)</f>
        <v>0</v>
      </c>
      <c r="XDG149" s="6" t="str">
        <f ca="1">IF(XDH149=0,"",COUNTIF(A$1:$A149,"&gt;0"))</f>
        <v/>
      </c>
      <c r="XDH149" s="6">
        <f ca="1">IFERROR(SEARCH(INDIRECT(CELL("address")),B:B),0)</f>
        <v>0</v>
      </c>
      <c r="XDI149" s="6" t="str">
        <f ca="1">IFERROR(INDEX(Table_Projects_17[],MATCH(ROW(XDH148),XDG$2:XDG$1048576,0),1),"")</f>
        <v/>
      </c>
    </row>
    <row r="150" spans="1:1 16335:16337" x14ac:dyDescent="0.25">
      <c r="A150" s="5">
        <f ca="1">IF(ISNUMBER(SEARCH(INDIRECT(CELL("address")),Platforma_metis)),MAX(A$1:$A149)+1,0)</f>
        <v>0</v>
      </c>
      <c r="XDG150" s="6" t="str">
        <f ca="1">IF(XDH150=0,"",COUNTIF(A$1:$A150,"&gt;0"))</f>
        <v/>
      </c>
      <c r="XDH150" s="6">
        <f ca="1">IFERROR(SEARCH(INDIRECT(CELL("address")),B:B),0)</f>
        <v>0</v>
      </c>
      <c r="XDI150" s="6" t="str">
        <f ca="1">IFERROR(INDEX(Table_Projects_17[],MATCH(ROW(XDH149),XDG$2:XDG$1048576,0),1),"")</f>
        <v/>
      </c>
    </row>
    <row r="151" spans="1:1 16335:16337" x14ac:dyDescent="0.25">
      <c r="A151" s="5">
        <f ca="1">IF(ISNUMBER(SEARCH(INDIRECT(CELL("address")),Platforma_metis)),MAX(A$1:$A150)+1,0)</f>
        <v>0</v>
      </c>
      <c r="XDG151" s="6" t="str">
        <f ca="1">IF(XDH151=0,"",COUNTIF(A$1:$A151,"&gt;0"))</f>
        <v/>
      </c>
      <c r="XDH151" s="6">
        <f ca="1">IFERROR(SEARCH(INDIRECT(CELL("address")),B:B),0)</f>
        <v>0</v>
      </c>
      <c r="XDI151" s="6" t="str">
        <f ca="1">IFERROR(INDEX(Table_Projects_17[],MATCH(ROW(XDH150),XDG$2:XDG$1048576,0),1),"")</f>
        <v/>
      </c>
    </row>
    <row r="152" spans="1:1 16335:16337" x14ac:dyDescent="0.25">
      <c r="A152" s="5">
        <f ca="1">IF(ISNUMBER(SEARCH(INDIRECT(CELL("address")),Platforma_metis)),MAX(A$1:$A151)+1,0)</f>
        <v>0</v>
      </c>
      <c r="XDG152" s="6" t="str">
        <f ca="1">IF(XDH152=0,"",COUNTIF(A$1:$A152,"&gt;0"))</f>
        <v/>
      </c>
      <c r="XDH152" s="6">
        <f ca="1">IFERROR(SEARCH(INDIRECT(CELL("address")),B:B),0)</f>
        <v>0</v>
      </c>
      <c r="XDI152" s="6" t="str">
        <f ca="1">IFERROR(INDEX(Table_Projects_17[],MATCH(ROW(XDH151),XDG$2:XDG$1048576,0),1),"")</f>
        <v/>
      </c>
    </row>
    <row r="153" spans="1:1 16335:16337" x14ac:dyDescent="0.25">
      <c r="A153" s="5">
        <f ca="1">IF(ISNUMBER(SEARCH(INDIRECT(CELL("address")),Platforma_metis)),MAX(A$1:$A152)+1,0)</f>
        <v>0</v>
      </c>
      <c r="XDG153" s="6" t="str">
        <f ca="1">IF(XDH153=0,"",COUNTIF(A$1:$A153,"&gt;0"))</f>
        <v/>
      </c>
      <c r="XDH153" s="6">
        <f ca="1">IFERROR(SEARCH(INDIRECT(CELL("address")),B:B),0)</f>
        <v>0</v>
      </c>
      <c r="XDI153" s="6" t="str">
        <f ca="1">IFERROR(INDEX(Table_Projects_17[],MATCH(ROW(XDH152),XDG$2:XDG$1048576,0),1),"")</f>
        <v/>
      </c>
    </row>
    <row r="154" spans="1:1 16335:16337" x14ac:dyDescent="0.25">
      <c r="A154" s="5">
        <f ca="1">IF(ISNUMBER(SEARCH(INDIRECT(CELL("address")),Platforma_metis)),MAX(A$1:$A153)+1,0)</f>
        <v>0</v>
      </c>
      <c r="XDG154" s="6" t="str">
        <f ca="1">IF(XDH154=0,"",COUNTIF(A$1:$A154,"&gt;0"))</f>
        <v/>
      </c>
      <c r="XDH154" s="6">
        <f ca="1">IFERROR(SEARCH(INDIRECT(CELL("address")),B:B),0)</f>
        <v>0</v>
      </c>
      <c r="XDI154" s="6" t="str">
        <f ca="1">IFERROR(INDEX(Table_Projects_17[],MATCH(ROW(XDH153),XDG$2:XDG$1048576,0),1),"")</f>
        <v/>
      </c>
    </row>
    <row r="155" spans="1:1 16335:16337" x14ac:dyDescent="0.25">
      <c r="A155" s="5">
        <f ca="1">IF(ISNUMBER(SEARCH(INDIRECT(CELL("address")),Platforma_metis)),MAX(A$1:$A154)+1,0)</f>
        <v>0</v>
      </c>
      <c r="XDG155" s="6" t="str">
        <f ca="1">IF(XDH155=0,"",COUNTIF(A$1:$A155,"&gt;0"))</f>
        <v/>
      </c>
      <c r="XDH155" s="6">
        <f ca="1">IFERROR(SEARCH(INDIRECT(CELL("address")),B:B),0)</f>
        <v>0</v>
      </c>
      <c r="XDI155" s="6" t="str">
        <f ca="1">IFERROR(INDEX(Table_Projects_17[],MATCH(ROW(XDH154),XDG$2:XDG$1048576,0),1),"")</f>
        <v/>
      </c>
    </row>
    <row r="156" spans="1:1 16335:16337" x14ac:dyDescent="0.25">
      <c r="A156" s="5">
        <f ca="1">IF(ISNUMBER(SEARCH(INDIRECT(CELL("address")),Platforma_metis)),MAX(A$1:$A155)+1,0)</f>
        <v>0</v>
      </c>
      <c r="XDG156" s="6" t="str">
        <f ca="1">IF(XDH156=0,"",COUNTIF(A$1:$A156,"&gt;0"))</f>
        <v/>
      </c>
      <c r="XDH156" s="6">
        <f ca="1">IFERROR(SEARCH(INDIRECT(CELL("address")),B:B),0)</f>
        <v>0</v>
      </c>
      <c r="XDI156" s="6" t="str">
        <f ca="1">IFERROR(INDEX(Table_Projects_17[],MATCH(ROW(XDH155),XDG$2:XDG$1048576,0),1),"")</f>
        <v/>
      </c>
    </row>
    <row r="157" spans="1:1 16335:16337" x14ac:dyDescent="0.25">
      <c r="A157" s="5">
        <f ca="1">IF(ISNUMBER(SEARCH(INDIRECT(CELL("address")),Platforma_metis)),MAX(A$1:$A156)+1,0)</f>
        <v>0</v>
      </c>
      <c r="XDG157" s="6" t="str">
        <f ca="1">IF(XDH157=0,"",COUNTIF(A$1:$A157,"&gt;0"))</f>
        <v/>
      </c>
      <c r="XDH157" s="6">
        <f ca="1">IFERROR(SEARCH(INDIRECT(CELL("address")),B:B),0)</f>
        <v>0</v>
      </c>
      <c r="XDI157" s="6" t="str">
        <f ca="1">IFERROR(INDEX(Table_Projects_17[],MATCH(ROW(XDH156),XDG$2:XDG$1048576,0),1),"")</f>
        <v/>
      </c>
    </row>
    <row r="158" spans="1:1 16335:16337" x14ac:dyDescent="0.25">
      <c r="A158" s="5">
        <f ca="1">IF(ISNUMBER(SEARCH(INDIRECT(CELL("address")),Platforma_metis)),MAX(A$1:$A157)+1,0)</f>
        <v>0</v>
      </c>
      <c r="XDG158" s="6" t="str">
        <f ca="1">IF(XDH158=0,"",COUNTIF(A$1:$A158,"&gt;0"))</f>
        <v/>
      </c>
      <c r="XDH158" s="6">
        <f ca="1">IFERROR(SEARCH(INDIRECT(CELL("address")),B:B),0)</f>
        <v>0</v>
      </c>
      <c r="XDI158" s="6" t="str">
        <f ca="1">IFERROR(INDEX(Table_Projects_17[],MATCH(ROW(XDH157),XDG$2:XDG$1048576,0),1),"")</f>
        <v/>
      </c>
    </row>
    <row r="159" spans="1:1 16335:16337" x14ac:dyDescent="0.25">
      <c r="A159" s="5">
        <f ca="1">IF(ISNUMBER(SEARCH(INDIRECT(CELL("address")),Platforma_metis)),MAX(A$1:$A158)+1,0)</f>
        <v>0</v>
      </c>
      <c r="XDG159" s="6" t="str">
        <f ca="1">IF(XDH159=0,"",COUNTIF(A$1:$A159,"&gt;0"))</f>
        <v/>
      </c>
      <c r="XDH159" s="6">
        <f ca="1">IFERROR(SEARCH(INDIRECT(CELL("address")),B:B),0)</f>
        <v>0</v>
      </c>
      <c r="XDI159" s="6" t="str">
        <f ca="1">IFERROR(INDEX(Table_Projects_17[],MATCH(ROW(XDH158),XDG$2:XDG$1048576,0),1),"")</f>
        <v/>
      </c>
    </row>
    <row r="160" spans="1:1 16335:16337" x14ac:dyDescent="0.25">
      <c r="A160" s="5">
        <f ca="1">IF(ISNUMBER(SEARCH(INDIRECT(CELL("address")),Platforma_metis)),MAX(A$1:$A159)+1,0)</f>
        <v>0</v>
      </c>
      <c r="XDG160" s="6" t="str">
        <f ca="1">IF(XDH160=0,"",COUNTIF(A$1:$A160,"&gt;0"))</f>
        <v/>
      </c>
      <c r="XDH160" s="6">
        <f ca="1">IFERROR(SEARCH(INDIRECT(CELL("address")),B:B),0)</f>
        <v>0</v>
      </c>
      <c r="XDI160" s="6" t="str">
        <f ca="1">IFERROR(INDEX(Table_Projects_17[],MATCH(ROW(XDH159),XDG$2:XDG$1048576,0),1),"")</f>
        <v/>
      </c>
    </row>
    <row r="161" spans="1:1 16335:16337" x14ac:dyDescent="0.25">
      <c r="A161" s="5">
        <f ca="1">IF(ISNUMBER(SEARCH(INDIRECT(CELL("address")),Platforma_metis)),MAX(A$1:$A160)+1,0)</f>
        <v>0</v>
      </c>
      <c r="XDG161" s="6" t="str">
        <f ca="1">IF(XDH161=0,"",COUNTIF(A$1:$A161,"&gt;0"))</f>
        <v/>
      </c>
      <c r="XDH161" s="6">
        <f ca="1">IFERROR(SEARCH(INDIRECT(CELL("address")),B:B),0)</f>
        <v>0</v>
      </c>
      <c r="XDI161" s="6" t="str">
        <f ca="1">IFERROR(INDEX(Table_Projects_17[],MATCH(ROW(XDH160),XDG$2:XDG$1048576,0),1),"")</f>
        <v/>
      </c>
    </row>
    <row r="162" spans="1:1 16335:16337" x14ac:dyDescent="0.25">
      <c r="A162" s="5">
        <f ca="1">IF(ISNUMBER(SEARCH(INDIRECT(CELL("address")),Platforma_metis)),MAX(A$1:$A161)+1,0)</f>
        <v>0</v>
      </c>
      <c r="XDG162" s="6" t="str">
        <f ca="1">IF(XDH162=0,"",COUNTIF(A$1:$A162,"&gt;0"))</f>
        <v/>
      </c>
      <c r="XDH162" s="6">
        <f ca="1">IFERROR(SEARCH(INDIRECT(CELL("address")),B:B),0)</f>
        <v>0</v>
      </c>
      <c r="XDI162" s="6" t="str">
        <f ca="1">IFERROR(INDEX(Table_Projects_17[],MATCH(ROW(XDH161),XDG$2:XDG$1048576,0),1),"")</f>
        <v/>
      </c>
    </row>
    <row r="163" spans="1:1 16335:16337" x14ac:dyDescent="0.25">
      <c r="A163" s="5">
        <f ca="1">IF(ISNUMBER(SEARCH(INDIRECT(CELL("address")),Platforma_metis)),MAX(A$1:$A162)+1,0)</f>
        <v>0</v>
      </c>
      <c r="XDG163" s="6" t="str">
        <f ca="1">IF(XDH163=0,"",COUNTIF(A$1:$A163,"&gt;0"))</f>
        <v/>
      </c>
      <c r="XDH163" s="6">
        <f ca="1">IFERROR(SEARCH(INDIRECT(CELL("address")),B:B),0)</f>
        <v>0</v>
      </c>
      <c r="XDI163" s="6" t="str">
        <f ca="1">IFERROR(INDEX(Table_Projects_17[],MATCH(ROW(XDH162),XDG$2:XDG$1048576,0),1),"")</f>
        <v/>
      </c>
    </row>
    <row r="164" spans="1:1 16335:16337" x14ac:dyDescent="0.25">
      <c r="A164" s="5">
        <f ca="1">IF(ISNUMBER(SEARCH(INDIRECT(CELL("address")),Platforma_metis)),MAX(A$1:$A163)+1,0)</f>
        <v>0</v>
      </c>
      <c r="XDG164" s="6" t="str">
        <f ca="1">IF(XDH164=0,"",COUNTIF(A$1:$A164,"&gt;0"))</f>
        <v/>
      </c>
      <c r="XDH164" s="6">
        <f ca="1">IFERROR(SEARCH(INDIRECT(CELL("address")),B:B),0)</f>
        <v>0</v>
      </c>
      <c r="XDI164" s="6" t="str">
        <f ca="1">IFERROR(INDEX(Table_Projects_17[],MATCH(ROW(XDH163),XDG$2:XDG$1048576,0),1),"")</f>
        <v/>
      </c>
    </row>
    <row r="165" spans="1:1 16335:16337" x14ac:dyDescent="0.25">
      <c r="A165" s="5">
        <f ca="1">IF(ISNUMBER(SEARCH(INDIRECT(CELL("address")),Platforma_metis)),MAX(A$1:$A164)+1,0)</f>
        <v>0</v>
      </c>
      <c r="XDG165" s="6" t="str">
        <f ca="1">IF(XDH165=0,"",COUNTIF(A$1:$A165,"&gt;0"))</f>
        <v/>
      </c>
      <c r="XDH165" s="6">
        <f ca="1">IFERROR(SEARCH(INDIRECT(CELL("address")),B:B),0)</f>
        <v>0</v>
      </c>
      <c r="XDI165" s="6" t="str">
        <f ca="1">IFERROR(INDEX(Table_Projects_17[],MATCH(ROW(XDH164),XDG$2:XDG$1048576,0),1),"")</f>
        <v/>
      </c>
    </row>
    <row r="166" spans="1:1 16335:16337" x14ac:dyDescent="0.25">
      <c r="A166" s="5">
        <f ca="1">IF(ISNUMBER(SEARCH(INDIRECT(CELL("address")),Platforma_metis)),MAX(A$1:$A165)+1,0)</f>
        <v>0</v>
      </c>
      <c r="XDG166" s="6" t="str">
        <f ca="1">IF(XDH166=0,"",COUNTIF(A$1:$A166,"&gt;0"))</f>
        <v/>
      </c>
      <c r="XDH166" s="6">
        <f ca="1">IFERROR(SEARCH(INDIRECT(CELL("address")),B:B),0)</f>
        <v>0</v>
      </c>
      <c r="XDI166" s="6" t="str">
        <f ca="1">IFERROR(INDEX(Table_Projects_17[],MATCH(ROW(XDH165),XDG$2:XDG$1048576,0),1),"")</f>
        <v/>
      </c>
    </row>
    <row r="167" spans="1:1 16335:16337" x14ac:dyDescent="0.25">
      <c r="A167" s="5">
        <f ca="1">IF(ISNUMBER(SEARCH(INDIRECT(CELL("address")),Platforma_metis)),MAX(A$1:$A166)+1,0)</f>
        <v>0</v>
      </c>
      <c r="XDG167" s="6" t="str">
        <f ca="1">IF(XDH167=0,"",COUNTIF(A$1:$A167,"&gt;0"))</f>
        <v/>
      </c>
      <c r="XDH167" s="6">
        <f ca="1">IFERROR(SEARCH(INDIRECT(CELL("address")),B:B),0)</f>
        <v>0</v>
      </c>
      <c r="XDI167" s="6" t="str">
        <f ca="1">IFERROR(INDEX(Table_Projects_17[],MATCH(ROW(XDH166),XDG$2:XDG$1048576,0),1),"")</f>
        <v/>
      </c>
    </row>
    <row r="168" spans="1:1 16335:16337" x14ac:dyDescent="0.25">
      <c r="A168" s="5">
        <f ca="1">IF(ISNUMBER(SEARCH(INDIRECT(CELL("address")),Platforma_metis)),MAX(A$1:$A167)+1,0)</f>
        <v>0</v>
      </c>
      <c r="XDG168" s="6" t="str">
        <f ca="1">IF(XDH168=0,"",COUNTIF(A$1:$A168,"&gt;0"))</f>
        <v/>
      </c>
      <c r="XDH168" s="6">
        <f ca="1">IFERROR(SEARCH(INDIRECT(CELL("address")),B:B),0)</f>
        <v>0</v>
      </c>
      <c r="XDI168" s="6" t="str">
        <f ca="1">IFERROR(INDEX(Table_Projects_17[],MATCH(ROW(XDH167),XDG$2:XDG$1048576,0),1),"")</f>
        <v/>
      </c>
    </row>
    <row r="169" spans="1:1 16335:16337" x14ac:dyDescent="0.25">
      <c r="A169" s="5">
        <f ca="1">IF(ISNUMBER(SEARCH(INDIRECT(CELL("address")),Platforma_metis)),MAX(A$1:$A168)+1,0)</f>
        <v>0</v>
      </c>
      <c r="XDG169" s="6" t="str">
        <f ca="1">IF(XDH169=0,"",COUNTIF(A$1:$A169,"&gt;0"))</f>
        <v/>
      </c>
      <c r="XDH169" s="6">
        <f ca="1">IFERROR(SEARCH(INDIRECT(CELL("address")),B:B),0)</f>
        <v>0</v>
      </c>
      <c r="XDI169" s="6" t="str">
        <f ca="1">IFERROR(INDEX(Table_Projects_17[],MATCH(ROW(XDH168),XDG$2:XDG$1048576,0),1),"")</f>
        <v/>
      </c>
    </row>
    <row r="170" spans="1:1 16335:16337" x14ac:dyDescent="0.25">
      <c r="A170" s="5">
        <f ca="1">IF(ISNUMBER(SEARCH(INDIRECT(CELL("address")),Platforma_metis)),MAX(A$1:$A169)+1,0)</f>
        <v>0</v>
      </c>
      <c r="XDG170" s="6" t="str">
        <f ca="1">IF(XDH170=0,"",COUNTIF(A$1:$A170,"&gt;0"))</f>
        <v/>
      </c>
      <c r="XDH170" s="6">
        <f ca="1">IFERROR(SEARCH(INDIRECT(CELL("address")),B:B),0)</f>
        <v>0</v>
      </c>
      <c r="XDI170" s="6" t="str">
        <f ca="1">IFERROR(INDEX(Table_Projects_17[],MATCH(ROW(XDH169),XDG$2:XDG$1048576,0),1),"")</f>
        <v/>
      </c>
    </row>
    <row r="171" spans="1:1 16335:16337" x14ac:dyDescent="0.25">
      <c r="A171" s="5">
        <f ca="1">IF(ISNUMBER(SEARCH(INDIRECT(CELL("address")),Platforma_metis)),MAX(A$1:$A170)+1,0)</f>
        <v>0</v>
      </c>
      <c r="XDG171" s="6" t="str">
        <f ca="1">IF(XDH171=0,"",COUNTIF(A$1:$A171,"&gt;0"))</f>
        <v/>
      </c>
      <c r="XDH171" s="6">
        <f ca="1">IFERROR(SEARCH(INDIRECT(CELL("address")),B:B),0)</f>
        <v>0</v>
      </c>
      <c r="XDI171" s="6" t="str">
        <f ca="1">IFERROR(INDEX(Table_Projects_17[],MATCH(ROW(XDH170),XDG$2:XDG$1048576,0),1),"")</f>
        <v/>
      </c>
    </row>
    <row r="172" spans="1:1 16335:16337" x14ac:dyDescent="0.25">
      <c r="A172" s="5">
        <f ca="1">IF(ISNUMBER(SEARCH(INDIRECT(CELL("address")),Platforma_metis)),MAX(A$1:$A171)+1,0)</f>
        <v>0</v>
      </c>
      <c r="XDG172" s="6" t="str">
        <f ca="1">IF(XDH172=0,"",COUNTIF(A$1:$A172,"&gt;0"))</f>
        <v/>
      </c>
      <c r="XDH172" s="6">
        <f ca="1">IFERROR(SEARCH(INDIRECT(CELL("address")),B:B),0)</f>
        <v>0</v>
      </c>
      <c r="XDI172" s="6" t="str">
        <f ca="1">IFERROR(INDEX(Table_Projects_17[],MATCH(ROW(XDH171),XDG$2:XDG$1048576,0),1),"")</f>
        <v/>
      </c>
    </row>
    <row r="173" spans="1:1 16335:16337" x14ac:dyDescent="0.25">
      <c r="A173" s="5">
        <f ca="1">IF(ISNUMBER(SEARCH(INDIRECT(CELL("address")),Platforma_metis)),MAX(A$1:$A172)+1,0)</f>
        <v>0</v>
      </c>
      <c r="XDG173" s="6" t="str">
        <f ca="1">IF(XDH173=0,"",COUNTIF(A$1:$A173,"&gt;0"))</f>
        <v/>
      </c>
      <c r="XDH173" s="6">
        <f ca="1">IFERROR(SEARCH(INDIRECT(CELL("address")),B:B),0)</f>
        <v>0</v>
      </c>
      <c r="XDI173" s="6" t="str">
        <f ca="1">IFERROR(INDEX(Table_Projects_17[],MATCH(ROW(XDH172),XDG$2:XDG$1048576,0),1),"")</f>
        <v/>
      </c>
    </row>
    <row r="174" spans="1:1 16335:16337" x14ac:dyDescent="0.25">
      <c r="A174" s="5">
        <f ca="1">IF(ISNUMBER(SEARCH(INDIRECT(CELL("address")),Platforma_metis)),MAX(A$1:$A173)+1,0)</f>
        <v>0</v>
      </c>
      <c r="XDG174" s="6" t="str">
        <f ca="1">IF(XDH174=0,"",COUNTIF(A$1:$A174,"&gt;0"))</f>
        <v/>
      </c>
      <c r="XDH174" s="6">
        <f ca="1">IFERROR(SEARCH(INDIRECT(CELL("address")),B:B),0)</f>
        <v>0</v>
      </c>
      <c r="XDI174" s="6" t="str">
        <f ca="1">IFERROR(INDEX(Table_Projects_17[],MATCH(ROW(XDH173),XDG$2:XDG$1048576,0),1),"")</f>
        <v/>
      </c>
    </row>
    <row r="175" spans="1:1 16335:16337" x14ac:dyDescent="0.25">
      <c r="A175" s="5">
        <f ca="1">IF(ISNUMBER(SEARCH(INDIRECT(CELL("address")),Platforma_metis)),MAX(A$1:$A174)+1,0)</f>
        <v>0</v>
      </c>
      <c r="XDG175" s="6" t="str">
        <f ca="1">IF(XDH175=0,"",COUNTIF(A$1:$A175,"&gt;0"))</f>
        <v/>
      </c>
      <c r="XDH175" s="6">
        <f ca="1">IFERROR(SEARCH(INDIRECT(CELL("address")),B:B),0)</f>
        <v>0</v>
      </c>
      <c r="XDI175" s="6" t="str">
        <f ca="1">IFERROR(INDEX(Table_Projects_17[],MATCH(ROW(XDH174),XDG$2:XDG$1048576,0),1),"")</f>
        <v/>
      </c>
    </row>
    <row r="176" spans="1:1 16335:16337" x14ac:dyDescent="0.25">
      <c r="A176" s="5">
        <f ca="1">IF(ISNUMBER(SEARCH(INDIRECT(CELL("address")),Platforma_metis)),MAX(A$1:$A175)+1,0)</f>
        <v>0</v>
      </c>
      <c r="XDG176" s="6" t="str">
        <f ca="1">IF(XDH176=0,"",COUNTIF(A$1:$A176,"&gt;0"))</f>
        <v/>
      </c>
      <c r="XDH176" s="6">
        <f ca="1">IFERROR(SEARCH(INDIRECT(CELL("address")),B:B),0)</f>
        <v>0</v>
      </c>
      <c r="XDI176" s="6" t="str">
        <f ca="1">IFERROR(INDEX(Table_Projects_17[],MATCH(ROW(XDH175),XDG$2:XDG$1048576,0),1),"")</f>
        <v/>
      </c>
    </row>
    <row r="177" spans="1:1 16335:16337" x14ac:dyDescent="0.25">
      <c r="A177" s="5">
        <f ca="1">IF(ISNUMBER(SEARCH(INDIRECT(CELL("address")),Platforma_metis)),MAX(A$1:$A176)+1,0)</f>
        <v>0</v>
      </c>
      <c r="XDG177" s="6" t="str">
        <f ca="1">IF(XDH177=0,"",COUNTIF(A$1:$A177,"&gt;0"))</f>
        <v/>
      </c>
      <c r="XDH177" s="6">
        <f ca="1">IFERROR(SEARCH(INDIRECT(CELL("address")),B:B),0)</f>
        <v>0</v>
      </c>
      <c r="XDI177" s="6" t="str">
        <f ca="1">IFERROR(INDEX(Table_Projects_17[],MATCH(ROW(XDH176),XDG$2:XDG$1048576,0),1),"")</f>
        <v/>
      </c>
    </row>
    <row r="178" spans="1:1 16335:16337" x14ac:dyDescent="0.25">
      <c r="A178" s="5">
        <f ca="1">IF(ISNUMBER(SEARCH(INDIRECT(CELL("address")),Platforma_metis)),MAX(A$1:$A177)+1,0)</f>
        <v>0</v>
      </c>
      <c r="XDG178" s="6" t="str">
        <f ca="1">IF(XDH178=0,"",COUNTIF(A$1:$A178,"&gt;0"))</f>
        <v/>
      </c>
      <c r="XDH178" s="6">
        <f ca="1">IFERROR(SEARCH(INDIRECT(CELL("address")),B:B),0)</f>
        <v>0</v>
      </c>
      <c r="XDI178" s="6" t="str">
        <f ca="1">IFERROR(INDEX(Table_Projects_17[],MATCH(ROW(XDH177),XDG$2:XDG$1048576,0),1),"")</f>
        <v/>
      </c>
    </row>
    <row r="179" spans="1:1 16335:16337" x14ac:dyDescent="0.25">
      <c r="A179" s="5">
        <f ca="1">IF(ISNUMBER(SEARCH(INDIRECT(CELL("address")),Platforma_metis)),MAX(A$1:$A178)+1,0)</f>
        <v>0</v>
      </c>
      <c r="XDG179" s="6" t="str">
        <f ca="1">IF(XDH179=0,"",COUNTIF(A$1:$A179,"&gt;0"))</f>
        <v/>
      </c>
      <c r="XDH179" s="6">
        <f ca="1">IFERROR(SEARCH(INDIRECT(CELL("address")),B:B),0)</f>
        <v>0</v>
      </c>
      <c r="XDI179" s="6" t="str">
        <f ca="1">IFERROR(INDEX(Table_Projects_17[],MATCH(ROW(XDH178),XDG$2:XDG$1048576,0),1),"")</f>
        <v/>
      </c>
    </row>
    <row r="180" spans="1:1 16335:16337" x14ac:dyDescent="0.25">
      <c r="A180" s="5">
        <f ca="1">IF(ISNUMBER(SEARCH(INDIRECT(CELL("address")),Platforma_metis)),MAX(A$1:$A179)+1,0)</f>
        <v>0</v>
      </c>
      <c r="XDG180" s="6" t="str">
        <f ca="1">IF(XDH180=0,"",COUNTIF(A$1:$A180,"&gt;0"))</f>
        <v/>
      </c>
      <c r="XDH180" s="6">
        <f ca="1">IFERROR(SEARCH(INDIRECT(CELL("address")),B:B),0)</f>
        <v>0</v>
      </c>
      <c r="XDI180" s="6" t="str">
        <f ca="1">IFERROR(INDEX(Table_Projects_17[],MATCH(ROW(XDH179),XDG$2:XDG$1048576,0),1),"")</f>
        <v/>
      </c>
    </row>
    <row r="181" spans="1:1 16335:16337" x14ac:dyDescent="0.25">
      <c r="A181" s="5">
        <f ca="1">IF(ISNUMBER(SEARCH(INDIRECT(CELL("address")),Platforma_metis)),MAX(A$1:$A180)+1,0)</f>
        <v>0</v>
      </c>
      <c r="XDG181" s="6" t="str">
        <f ca="1">IF(XDH181=0,"",COUNTIF(A$1:$A181,"&gt;0"))</f>
        <v/>
      </c>
      <c r="XDH181" s="6">
        <f ca="1">IFERROR(SEARCH(INDIRECT(CELL("address")),B:B),0)</f>
        <v>0</v>
      </c>
      <c r="XDI181" s="6" t="str">
        <f ca="1">IFERROR(INDEX(Table_Projects_17[],MATCH(ROW(XDH180),XDG$2:XDG$1048576,0),1),"")</f>
        <v/>
      </c>
    </row>
    <row r="182" spans="1:1 16335:16337" x14ac:dyDescent="0.25">
      <c r="A182" s="5">
        <f ca="1">IF(ISNUMBER(SEARCH(INDIRECT(CELL("address")),Platforma_metis)),MAX(A$1:$A181)+1,0)</f>
        <v>0</v>
      </c>
      <c r="XDG182" s="6" t="str">
        <f ca="1">IF(XDH182=0,"",COUNTIF(A$1:$A182,"&gt;0"))</f>
        <v/>
      </c>
      <c r="XDH182" s="6">
        <f ca="1">IFERROR(SEARCH(INDIRECT(CELL("address")),B:B),0)</f>
        <v>0</v>
      </c>
      <c r="XDI182" s="6" t="str">
        <f ca="1">IFERROR(INDEX(Table_Projects_17[],MATCH(ROW(XDH181),XDG$2:XDG$1048576,0),1),"")</f>
        <v/>
      </c>
    </row>
    <row r="183" spans="1:1 16335:16337" x14ac:dyDescent="0.25">
      <c r="A183" s="5">
        <f ca="1">IF(ISNUMBER(SEARCH(INDIRECT(CELL("address")),Platforma_metis)),MAX(A$1:$A182)+1,0)</f>
        <v>0</v>
      </c>
      <c r="XDG183" s="6" t="str">
        <f ca="1">IF(XDH183=0,"",COUNTIF(A$1:$A183,"&gt;0"))</f>
        <v/>
      </c>
      <c r="XDH183" s="6">
        <f ca="1">IFERROR(SEARCH(INDIRECT(CELL("address")),B:B),0)</f>
        <v>0</v>
      </c>
      <c r="XDI183" s="6" t="str">
        <f ca="1">IFERROR(INDEX(Table_Projects_17[],MATCH(ROW(XDH182),XDG$2:XDG$1048576,0),1),"")</f>
        <v/>
      </c>
    </row>
    <row r="184" spans="1:1 16335:16337" x14ac:dyDescent="0.25">
      <c r="A184" s="5">
        <f ca="1">IF(ISNUMBER(SEARCH(INDIRECT(CELL("address")),Platforma_metis)),MAX(A$1:$A183)+1,0)</f>
        <v>0</v>
      </c>
      <c r="XDG184" s="6" t="str">
        <f ca="1">IF(XDH184=0,"",COUNTIF(A$1:$A184,"&gt;0"))</f>
        <v/>
      </c>
      <c r="XDH184" s="6">
        <f ca="1">IFERROR(SEARCH(INDIRECT(CELL("address")),B:B),0)</f>
        <v>0</v>
      </c>
      <c r="XDI184" s="6" t="str">
        <f ca="1">IFERROR(INDEX(Table_Projects_17[],MATCH(ROW(XDH183),XDG$2:XDG$1048576,0),1),"")</f>
        <v/>
      </c>
    </row>
    <row r="185" spans="1:1 16335:16337" x14ac:dyDescent="0.25">
      <c r="A185" s="5">
        <f ca="1">IF(ISNUMBER(SEARCH(INDIRECT(CELL("address")),Platforma_metis)),MAX(A$1:$A184)+1,0)</f>
        <v>0</v>
      </c>
      <c r="XDG185" s="6" t="str">
        <f ca="1">IF(XDH185=0,"",COUNTIF(A$1:$A185,"&gt;0"))</f>
        <v/>
      </c>
      <c r="XDH185" s="6">
        <f ca="1">IFERROR(SEARCH(INDIRECT(CELL("address")),B:B),0)</f>
        <v>0</v>
      </c>
      <c r="XDI185" s="6" t="str">
        <f ca="1">IFERROR(INDEX(Table_Projects_17[],MATCH(ROW(XDH184),XDG$2:XDG$1048576,0),1),"")</f>
        <v/>
      </c>
    </row>
    <row r="186" spans="1:1 16335:16337" x14ac:dyDescent="0.25">
      <c r="A186" s="5">
        <f ca="1">IF(ISNUMBER(SEARCH(INDIRECT(CELL("address")),Platforma_metis)),MAX(A$1:$A185)+1,0)</f>
        <v>0</v>
      </c>
      <c r="XDG186" s="6" t="str">
        <f ca="1">IF(XDH186=0,"",COUNTIF(A$1:$A186,"&gt;0"))</f>
        <v/>
      </c>
      <c r="XDH186" s="6">
        <f ca="1">IFERROR(SEARCH(INDIRECT(CELL("address")),B:B),0)</f>
        <v>0</v>
      </c>
      <c r="XDI186" s="6" t="str">
        <f ca="1">IFERROR(INDEX(Table_Projects_17[],MATCH(ROW(XDH185),XDG$2:XDG$1048576,0),1),"")</f>
        <v/>
      </c>
    </row>
    <row r="187" spans="1:1 16335:16337" x14ac:dyDescent="0.25">
      <c r="A187" s="5">
        <f ca="1">IF(ISNUMBER(SEARCH(INDIRECT(CELL("address")),Platforma_metis)),MAX(A$1:$A186)+1,0)</f>
        <v>0</v>
      </c>
      <c r="XDG187" s="6" t="str">
        <f ca="1">IF(XDH187=0,"",COUNTIF(A$1:$A187,"&gt;0"))</f>
        <v/>
      </c>
      <c r="XDH187" s="6">
        <f ca="1">IFERROR(SEARCH(INDIRECT(CELL("address")),B:B),0)</f>
        <v>0</v>
      </c>
      <c r="XDI187" s="6" t="str">
        <f ca="1">IFERROR(INDEX(Table_Projects_17[],MATCH(ROW(XDH186),XDG$2:XDG$1048576,0),1),"")</f>
        <v/>
      </c>
    </row>
    <row r="188" spans="1:1 16335:16337" x14ac:dyDescent="0.25">
      <c r="A188" s="5">
        <f ca="1">IF(ISNUMBER(SEARCH(INDIRECT(CELL("address")),Platforma_metis)),MAX(A$1:$A187)+1,0)</f>
        <v>0</v>
      </c>
      <c r="XDG188" s="6" t="str">
        <f ca="1">IF(XDH188=0,"",COUNTIF(A$1:$A188,"&gt;0"))</f>
        <v/>
      </c>
      <c r="XDH188" s="6">
        <f ca="1">IFERROR(SEARCH(INDIRECT(CELL("address")),B:B),0)</f>
        <v>0</v>
      </c>
      <c r="XDI188" s="6" t="str">
        <f ca="1">IFERROR(INDEX(Table_Projects_17[],MATCH(ROW(XDH187),XDG$2:XDG$1048576,0),1),"")</f>
        <v/>
      </c>
    </row>
    <row r="189" spans="1:1 16335:16337" x14ac:dyDescent="0.25">
      <c r="A189" s="5">
        <f ca="1">IF(ISNUMBER(SEARCH(INDIRECT(CELL("address")),Platforma_metis)),MAX(A$1:$A188)+1,0)</f>
        <v>0</v>
      </c>
      <c r="XDG189" s="6" t="str">
        <f ca="1">IF(XDH189=0,"",COUNTIF(A$1:$A189,"&gt;0"))</f>
        <v/>
      </c>
      <c r="XDH189" s="6">
        <f ca="1">IFERROR(SEARCH(INDIRECT(CELL("address")),B:B),0)</f>
        <v>0</v>
      </c>
      <c r="XDI189" s="6" t="str">
        <f ca="1">IFERROR(INDEX(Table_Projects_17[],MATCH(ROW(XDH188),XDG$2:XDG$1048576,0),1),"")</f>
        <v/>
      </c>
    </row>
    <row r="190" spans="1:1 16335:16337" x14ac:dyDescent="0.25">
      <c r="A190" s="5">
        <f ca="1">IF(ISNUMBER(SEARCH(INDIRECT(CELL("address")),Platforma_metis)),MAX(A$1:$A189)+1,0)</f>
        <v>0</v>
      </c>
      <c r="XDG190" s="6" t="str">
        <f ca="1">IF(XDH190=0,"",COUNTIF(A$1:$A190,"&gt;0"))</f>
        <v/>
      </c>
      <c r="XDH190" s="6">
        <f ca="1">IFERROR(SEARCH(INDIRECT(CELL("address")),B:B),0)</f>
        <v>0</v>
      </c>
      <c r="XDI190" s="6" t="str">
        <f ca="1">IFERROR(INDEX(Table_Projects_17[],MATCH(ROW(XDH189),XDG$2:XDG$1048576,0),1),"")</f>
        <v/>
      </c>
    </row>
    <row r="191" spans="1:1 16335:16337" x14ac:dyDescent="0.25">
      <c r="A191" s="5">
        <f ca="1">IF(ISNUMBER(SEARCH(INDIRECT(CELL("address")),Platforma_metis)),MAX(A$1:$A190)+1,0)</f>
        <v>0</v>
      </c>
      <c r="XDG191" s="6" t="str">
        <f ca="1">IF(XDH191=0,"",COUNTIF(A$1:$A191,"&gt;0"))</f>
        <v/>
      </c>
      <c r="XDH191" s="6">
        <f ca="1">IFERROR(SEARCH(INDIRECT(CELL("address")),B:B),0)</f>
        <v>0</v>
      </c>
      <c r="XDI191" s="6" t="str">
        <f ca="1">IFERROR(INDEX(Table_Projects_17[],MATCH(ROW(XDH190),XDG$2:XDG$1048576,0),1),"")</f>
        <v/>
      </c>
    </row>
    <row r="192" spans="1:1 16335:16337" x14ac:dyDescent="0.25">
      <c r="A192" s="5">
        <f ca="1">IF(ISNUMBER(SEARCH(INDIRECT(CELL("address")),Platforma_metis)),MAX(A$1:$A191)+1,0)</f>
        <v>0</v>
      </c>
      <c r="XDG192" s="6" t="str">
        <f ca="1">IF(XDH192=0,"",COUNTIF(A$1:$A192,"&gt;0"))</f>
        <v/>
      </c>
      <c r="XDH192" s="6">
        <f ca="1">IFERROR(SEARCH(INDIRECT(CELL("address")),B:B),0)</f>
        <v>0</v>
      </c>
      <c r="XDI192" s="6" t="str">
        <f ca="1">IFERROR(INDEX(Table_Projects_17[],MATCH(ROW(XDH191),XDG$2:XDG$1048576,0),1),"")</f>
        <v/>
      </c>
    </row>
    <row r="193" spans="1:1 16335:16337" x14ac:dyDescent="0.25">
      <c r="A193" s="5">
        <f ca="1">IF(ISNUMBER(SEARCH(INDIRECT(CELL("address")),Platforma_metis)),MAX(A$1:$A192)+1,0)</f>
        <v>0</v>
      </c>
      <c r="XDG193" s="6" t="str">
        <f ca="1">IF(XDH193=0,"",COUNTIF(A$1:$A193,"&gt;0"))</f>
        <v/>
      </c>
      <c r="XDH193" s="6">
        <f ca="1">IFERROR(SEARCH(INDIRECT(CELL("address")),B:B),0)</f>
        <v>0</v>
      </c>
      <c r="XDI193" s="6" t="str">
        <f ca="1">IFERROR(INDEX(Table_Projects_17[],MATCH(ROW(XDH192),XDG$2:XDG$1048576,0),1),"")</f>
        <v/>
      </c>
    </row>
    <row r="194" spans="1:1 16335:16337" x14ac:dyDescent="0.25">
      <c r="A194" s="5">
        <f ca="1">IF(ISNUMBER(SEARCH(INDIRECT(CELL("address")),Platforma_metis)),MAX(A$1:$A193)+1,0)</f>
        <v>0</v>
      </c>
      <c r="XDG194" s="6" t="str">
        <f ca="1">IF(XDH194=0,"",COUNTIF(A$1:$A194,"&gt;0"))</f>
        <v/>
      </c>
      <c r="XDH194" s="6">
        <f ca="1">IFERROR(SEARCH(INDIRECT(CELL("address")),B:B),0)</f>
        <v>0</v>
      </c>
      <c r="XDI194" s="6" t="str">
        <f ca="1">IFERROR(INDEX(Table_Projects_17[],MATCH(ROW(XDH193),XDG$2:XDG$1048576,0),1),"")</f>
        <v/>
      </c>
    </row>
    <row r="195" spans="1:1 16335:16337" x14ac:dyDescent="0.25">
      <c r="A195" s="5">
        <f ca="1">IF(ISNUMBER(SEARCH(INDIRECT(CELL("address")),Platforma_metis)),MAX(A$1:$A194)+1,0)</f>
        <v>0</v>
      </c>
      <c r="XDG195" s="6" t="str">
        <f ca="1">IF(XDH195=0,"",COUNTIF(A$1:$A195,"&gt;0"))</f>
        <v/>
      </c>
      <c r="XDH195" s="6">
        <f ca="1">IFERROR(SEARCH(INDIRECT(CELL("address")),B:B),0)</f>
        <v>0</v>
      </c>
      <c r="XDI195" s="6" t="str">
        <f ca="1">IFERROR(INDEX(Table_Projects_17[],MATCH(ROW(XDH194),XDG$2:XDG$1048576,0),1),"")</f>
        <v/>
      </c>
    </row>
    <row r="196" spans="1:1 16335:16337" x14ac:dyDescent="0.25">
      <c r="A196" s="5">
        <f ca="1">IF(ISNUMBER(SEARCH(INDIRECT(CELL("address")),Platforma_metis)),MAX(A$1:$A195)+1,0)</f>
        <v>0</v>
      </c>
      <c r="XDG196" s="6" t="str">
        <f ca="1">IF(XDH196=0,"",COUNTIF(A$1:$A196,"&gt;0"))</f>
        <v/>
      </c>
      <c r="XDH196" s="6">
        <f ca="1">IFERROR(SEARCH(INDIRECT(CELL("address")),B:B),0)</f>
        <v>0</v>
      </c>
      <c r="XDI196" s="6" t="str">
        <f ca="1">IFERROR(INDEX(Table_Projects_17[],MATCH(ROW(XDH195),XDG$2:XDG$1048576,0),1),"")</f>
        <v/>
      </c>
    </row>
    <row r="197" spans="1:1 16335:16337" x14ac:dyDescent="0.25">
      <c r="A197" s="5">
        <f ca="1">IF(ISNUMBER(SEARCH(INDIRECT(CELL("address")),Platforma_metis)),MAX(A$1:$A196)+1,0)</f>
        <v>0</v>
      </c>
      <c r="XDG197" s="6" t="str">
        <f ca="1">IF(XDH197=0,"",COUNTIF(A$1:$A197,"&gt;0"))</f>
        <v/>
      </c>
      <c r="XDH197" s="6">
        <f ca="1">IFERROR(SEARCH(INDIRECT(CELL("address")),B:B),0)</f>
        <v>0</v>
      </c>
      <c r="XDI197" s="6" t="str">
        <f ca="1">IFERROR(INDEX(Table_Projects_17[],MATCH(ROW(XDH196),XDG$2:XDG$1048576,0),1),"")</f>
        <v/>
      </c>
    </row>
    <row r="198" spans="1:1 16335:16337" x14ac:dyDescent="0.25">
      <c r="A198" s="5">
        <f ca="1">IF(ISNUMBER(SEARCH(INDIRECT(CELL("address")),Platforma_metis)),MAX(A$1:$A197)+1,0)</f>
        <v>0</v>
      </c>
      <c r="XDG198" s="6" t="str">
        <f ca="1">IF(XDH198=0,"",COUNTIF(A$1:$A198,"&gt;0"))</f>
        <v/>
      </c>
      <c r="XDH198" s="6">
        <f ca="1">IFERROR(SEARCH(INDIRECT(CELL("address")),B:B),0)</f>
        <v>0</v>
      </c>
      <c r="XDI198" s="6" t="str">
        <f ca="1">IFERROR(INDEX(Table_Projects_17[],MATCH(ROW(XDH197),XDG$2:XDG$1048576,0),1),"")</f>
        <v/>
      </c>
    </row>
    <row r="199" spans="1:1 16335:16337" x14ac:dyDescent="0.25">
      <c r="A199" s="5">
        <f ca="1">IF(ISNUMBER(SEARCH(INDIRECT(CELL("address")),Platforma_metis)),MAX(A$1:$A198)+1,0)</f>
        <v>0</v>
      </c>
      <c r="XDG199" s="6" t="str">
        <f ca="1">IF(XDH199=0,"",COUNTIF(A$1:$A199,"&gt;0"))</f>
        <v/>
      </c>
      <c r="XDH199" s="6">
        <f ca="1">IFERROR(SEARCH(INDIRECT(CELL("address")),B:B),0)</f>
        <v>0</v>
      </c>
      <c r="XDI199" s="6" t="str">
        <f ca="1">IFERROR(INDEX(Table_Projects_17[],MATCH(ROW(XDH198),XDG$2:XDG$1048576,0),1),"")</f>
        <v/>
      </c>
    </row>
    <row r="200" spans="1:1 16335:16337" x14ac:dyDescent="0.25">
      <c r="A200" s="5">
        <f ca="1">IF(ISNUMBER(SEARCH(INDIRECT(CELL("address")),Platforma_metis)),MAX(A$1:$A199)+1,0)</f>
        <v>0</v>
      </c>
      <c r="XDG200" s="6" t="str">
        <f ca="1">IF(XDH200=0,"",COUNTIF(A$1:$A200,"&gt;0"))</f>
        <v/>
      </c>
      <c r="XDH200" s="6">
        <f ca="1">IFERROR(SEARCH(INDIRECT(CELL("address")),B:B),0)</f>
        <v>0</v>
      </c>
      <c r="XDI200" s="6" t="str">
        <f ca="1">IFERROR(INDEX(Table_Projects_17[],MATCH(ROW(XDH199),XDG$2:XDG$1048576,0),1),"")</f>
        <v/>
      </c>
    </row>
    <row r="201" spans="1:1 16335:16337" x14ac:dyDescent="0.25">
      <c r="A201" s="5">
        <f ca="1">IF(ISNUMBER(SEARCH(INDIRECT(CELL("address")),Platforma_metis)),MAX(A$1:$A200)+1,0)</f>
        <v>0</v>
      </c>
      <c r="XDG201" s="6" t="str">
        <f ca="1">IF(XDH201=0,"",COUNTIF(A$1:$A201,"&gt;0"))</f>
        <v/>
      </c>
      <c r="XDH201" s="6">
        <f ca="1">IFERROR(SEARCH(INDIRECT(CELL("address")),B:B),0)</f>
        <v>0</v>
      </c>
      <c r="XDI201" s="6" t="str">
        <f ca="1">IFERROR(INDEX(Table_Projects_17[],MATCH(ROW(XDH200),XDG$2:XDG$1048576,0),1),"")</f>
        <v/>
      </c>
    </row>
    <row r="202" spans="1:1 16335:16337" x14ac:dyDescent="0.25">
      <c r="A202" s="5">
        <f ca="1">IF(ISNUMBER(SEARCH(INDIRECT(CELL("address")),Platforma_metis)),MAX(A$1:$A201)+1,0)</f>
        <v>0</v>
      </c>
      <c r="XDG202" s="6" t="str">
        <f ca="1">IF(XDH202=0,"",COUNTIF(A$1:$A202,"&gt;0"))</f>
        <v/>
      </c>
      <c r="XDH202" s="6">
        <f ca="1">IFERROR(SEARCH(INDIRECT(CELL("address")),B:B),0)</f>
        <v>0</v>
      </c>
      <c r="XDI202" s="6" t="str">
        <f ca="1">IFERROR(INDEX(Table_Projects_17[],MATCH(ROW(XDH201),XDG$2:XDG$1048576,0),1),"")</f>
        <v/>
      </c>
    </row>
    <row r="203" spans="1:1 16335:16337" x14ac:dyDescent="0.25">
      <c r="A203" s="5">
        <f ca="1">IF(ISNUMBER(SEARCH(INDIRECT(CELL("address")),Platforma_metis)),MAX(A$1:$A202)+1,0)</f>
        <v>0</v>
      </c>
      <c r="XDG203" s="6" t="str">
        <f ca="1">IF(XDH203=0,"",COUNTIF(A$1:$A203,"&gt;0"))</f>
        <v/>
      </c>
      <c r="XDH203" s="6">
        <f ca="1">IFERROR(SEARCH(INDIRECT(CELL("address")),B:B),0)</f>
        <v>0</v>
      </c>
      <c r="XDI203" s="6" t="str">
        <f ca="1">IFERROR(INDEX(Table_Projects_17[],MATCH(ROW(XDH202),XDG$2:XDG$1048576,0),1),"")</f>
        <v/>
      </c>
    </row>
    <row r="204" spans="1:1 16335:16337" x14ac:dyDescent="0.25">
      <c r="A204" s="5">
        <f ca="1">IF(ISNUMBER(SEARCH(INDIRECT(CELL("address")),Platforma_metis)),MAX(A$1:$A203)+1,0)</f>
        <v>0</v>
      </c>
      <c r="XDG204" s="6" t="str">
        <f ca="1">IF(XDH204=0,"",COUNTIF(A$1:$A204,"&gt;0"))</f>
        <v/>
      </c>
      <c r="XDH204" s="6">
        <f ca="1">IFERROR(SEARCH(INDIRECT(CELL("address")),B:B),0)</f>
        <v>0</v>
      </c>
      <c r="XDI204" s="6" t="str">
        <f ca="1">IFERROR(INDEX(Table_Projects_17[],MATCH(ROW(XDH203),XDG$2:XDG$1048576,0),1),"")</f>
        <v/>
      </c>
    </row>
    <row r="205" spans="1:1 16335:16337" x14ac:dyDescent="0.25">
      <c r="A205" s="5">
        <f ca="1">IF(ISNUMBER(SEARCH(INDIRECT(CELL("address")),Platforma_metis)),MAX(A$1:$A204)+1,0)</f>
        <v>0</v>
      </c>
      <c r="XDG205" s="6" t="str">
        <f ca="1">IF(XDH205=0,"",COUNTIF(A$1:$A205,"&gt;0"))</f>
        <v/>
      </c>
      <c r="XDH205" s="6">
        <f ca="1">IFERROR(SEARCH(INDIRECT(CELL("address")),B:B),0)</f>
        <v>0</v>
      </c>
      <c r="XDI205" s="6" t="str">
        <f ca="1">IFERROR(INDEX(Table_Projects_17[],MATCH(ROW(XDH204),XDG$2:XDG$1048576,0),1),"")</f>
        <v/>
      </c>
    </row>
    <row r="206" spans="1:1 16335:16337" x14ac:dyDescent="0.25">
      <c r="A206" s="5">
        <f ca="1">IF(ISNUMBER(SEARCH(INDIRECT(CELL("address")),Platforma_metis)),MAX(A$1:$A205)+1,0)</f>
        <v>0</v>
      </c>
      <c r="XDG206" s="6" t="str">
        <f ca="1">IF(XDH206=0,"",COUNTIF(A$1:$A206,"&gt;0"))</f>
        <v/>
      </c>
      <c r="XDH206" s="6">
        <f ca="1">IFERROR(SEARCH(INDIRECT(CELL("address")),B:B),0)</f>
        <v>0</v>
      </c>
      <c r="XDI206" s="6" t="str">
        <f ca="1">IFERROR(INDEX(Table_Projects_17[],MATCH(ROW(XDH205),XDG$2:XDG$1048576,0),1),"")</f>
        <v/>
      </c>
    </row>
    <row r="207" spans="1:1 16335:16337" x14ac:dyDescent="0.25">
      <c r="A207" s="5">
        <f ca="1">IF(ISNUMBER(SEARCH(INDIRECT(CELL("address")),Platforma_metis)),MAX(A$1:$A206)+1,0)</f>
        <v>0</v>
      </c>
      <c r="XDG207" s="6" t="str">
        <f ca="1">IF(XDH207=0,"",COUNTIF(A$1:$A207,"&gt;0"))</f>
        <v/>
      </c>
      <c r="XDH207" s="6">
        <f ca="1">IFERROR(SEARCH(INDIRECT(CELL("address")),B:B),0)</f>
        <v>0</v>
      </c>
      <c r="XDI207" s="6" t="str">
        <f ca="1">IFERROR(INDEX(Table_Projects_17[],MATCH(ROW(XDH206),XDG$2:XDG$1048576,0),1),"")</f>
        <v/>
      </c>
    </row>
    <row r="208" spans="1:1 16335:16337" x14ac:dyDescent="0.25">
      <c r="A208" s="5">
        <f ca="1">IF(ISNUMBER(SEARCH(INDIRECT(CELL("address")),Platforma_metis)),MAX(A$1:$A207)+1,0)</f>
        <v>0</v>
      </c>
      <c r="XDG208" s="6" t="str">
        <f ca="1">IF(XDH208=0,"",COUNTIF(A$1:$A208,"&gt;0"))</f>
        <v/>
      </c>
      <c r="XDH208" s="6">
        <f ca="1">IFERROR(SEARCH(INDIRECT(CELL("address")),B:B),0)</f>
        <v>0</v>
      </c>
      <c r="XDI208" s="6" t="str">
        <f ca="1">IFERROR(INDEX(Table_Projects_17[],MATCH(ROW(XDH207),XDG$2:XDG$1048576,0),1),"")</f>
        <v/>
      </c>
    </row>
    <row r="209" spans="1:1 16335:16337" x14ac:dyDescent="0.25">
      <c r="A209" s="5">
        <f ca="1">IF(ISNUMBER(SEARCH(INDIRECT(CELL("address")),Platforma_metis)),MAX(A$1:$A208)+1,0)</f>
        <v>0</v>
      </c>
      <c r="XDG209" s="6" t="str">
        <f ca="1">IF(XDH209=0,"",COUNTIF(A$1:$A209,"&gt;0"))</f>
        <v/>
      </c>
      <c r="XDH209" s="6">
        <f ca="1">IFERROR(SEARCH(INDIRECT(CELL("address")),B:B),0)</f>
        <v>0</v>
      </c>
      <c r="XDI209" s="6" t="str">
        <f ca="1">IFERROR(INDEX(Table_Projects_17[],MATCH(ROW(XDH208),XDG$2:XDG$1048576,0),1),"")</f>
        <v/>
      </c>
    </row>
    <row r="210" spans="1:1 16335:16337" x14ac:dyDescent="0.25">
      <c r="A210" s="5">
        <f ca="1">IF(ISNUMBER(SEARCH(INDIRECT(CELL("address")),Platforma_metis)),MAX(A$1:$A209)+1,0)</f>
        <v>0</v>
      </c>
      <c r="XDG210" s="6" t="str">
        <f ca="1">IF(XDH210=0,"",COUNTIF(A$1:$A210,"&gt;0"))</f>
        <v/>
      </c>
      <c r="XDH210" s="6">
        <f ca="1">IFERROR(SEARCH(INDIRECT(CELL("address")),B:B),0)</f>
        <v>0</v>
      </c>
      <c r="XDI210" s="6" t="str">
        <f ca="1">IFERROR(INDEX(Table_Projects_17[],MATCH(ROW(XDH209),XDG$2:XDG$1048576,0),1),"")</f>
        <v/>
      </c>
    </row>
    <row r="211" spans="1:1 16335:16337" x14ac:dyDescent="0.25">
      <c r="A211" s="5">
        <f ca="1">IF(ISNUMBER(SEARCH(INDIRECT(CELL("address")),Platforma_metis)),MAX(A$1:$A210)+1,0)</f>
        <v>0</v>
      </c>
      <c r="XDG211" s="6" t="str">
        <f ca="1">IF(XDH211=0,"",COUNTIF(A$1:$A211,"&gt;0"))</f>
        <v/>
      </c>
      <c r="XDH211" s="6">
        <f ca="1">IFERROR(SEARCH(INDIRECT(CELL("address")),B:B),0)</f>
        <v>0</v>
      </c>
      <c r="XDI211" s="6" t="str">
        <f ca="1">IFERROR(INDEX(Table_Projects_17[],MATCH(ROW(XDH210),XDG$2:XDG$1048576,0),1),"")</f>
        <v/>
      </c>
    </row>
    <row r="212" spans="1:1 16335:16337" x14ac:dyDescent="0.25">
      <c r="A212" s="5">
        <f ca="1">IF(ISNUMBER(SEARCH(INDIRECT(CELL("address")),Platforma_metis)),MAX(A$1:$A211)+1,0)</f>
        <v>0</v>
      </c>
      <c r="XDG212" s="6" t="str">
        <f ca="1">IF(XDH212=0,"",COUNTIF(A$1:$A212,"&gt;0"))</f>
        <v/>
      </c>
      <c r="XDH212" s="6">
        <f ca="1">IFERROR(SEARCH(INDIRECT(CELL("address")),B:B),0)</f>
        <v>0</v>
      </c>
      <c r="XDI212" s="6" t="str">
        <f ca="1">IFERROR(INDEX(Table_Projects_17[],MATCH(ROW(XDH211),XDG$2:XDG$1048576,0),1),"")</f>
        <v/>
      </c>
    </row>
    <row r="213" spans="1:1 16335:16337" x14ac:dyDescent="0.25">
      <c r="A213" s="5">
        <f ca="1">IF(ISNUMBER(SEARCH(INDIRECT(CELL("address")),Platforma_metis)),MAX(A$1:$A212)+1,0)</f>
        <v>0</v>
      </c>
      <c r="XDG213" s="6" t="str">
        <f ca="1">IF(XDH213=0,"",COUNTIF(A$1:$A213,"&gt;0"))</f>
        <v/>
      </c>
      <c r="XDH213" s="6">
        <f ca="1">IFERROR(SEARCH(INDIRECT(CELL("address")),B:B),0)</f>
        <v>0</v>
      </c>
      <c r="XDI213" s="6" t="str">
        <f ca="1">IFERROR(INDEX(Table_Projects_17[],MATCH(ROW(XDH212),XDG$2:XDG$1048576,0),1),"")</f>
        <v/>
      </c>
    </row>
    <row r="214" spans="1:1 16335:16337" x14ac:dyDescent="0.25">
      <c r="A214" s="5">
        <f ca="1">IF(ISNUMBER(SEARCH(INDIRECT(CELL("address")),Platforma_metis)),MAX(A$1:$A213)+1,0)</f>
        <v>0</v>
      </c>
      <c r="XDG214" s="6" t="str">
        <f ca="1">IF(XDH214=0,"",COUNTIF(A$1:$A214,"&gt;0"))</f>
        <v/>
      </c>
      <c r="XDH214" s="6">
        <f ca="1">IFERROR(SEARCH(INDIRECT(CELL("address")),B:B),0)</f>
        <v>0</v>
      </c>
      <c r="XDI214" s="6" t="str">
        <f ca="1">IFERROR(INDEX(Table_Projects_17[],MATCH(ROW(XDH213),XDG$2:XDG$1048576,0),1),"")</f>
        <v/>
      </c>
    </row>
    <row r="215" spans="1:1 16335:16337" x14ac:dyDescent="0.25">
      <c r="A215" s="5">
        <f ca="1">IF(ISNUMBER(SEARCH(INDIRECT(CELL("address")),Platforma_metis)),MAX(A$1:$A214)+1,0)</f>
        <v>0</v>
      </c>
      <c r="XDG215" s="6" t="str">
        <f ca="1">IF(XDH215=0,"",COUNTIF(A$1:$A215,"&gt;0"))</f>
        <v/>
      </c>
      <c r="XDH215" s="6">
        <f ca="1">IFERROR(SEARCH(INDIRECT(CELL("address")),B:B),0)</f>
        <v>0</v>
      </c>
      <c r="XDI215" s="6" t="str">
        <f ca="1">IFERROR(INDEX(Table_Projects_17[],MATCH(ROW(XDH214),XDG$2:XDG$1048576,0),1),"")</f>
        <v/>
      </c>
    </row>
    <row r="216" spans="1:1 16335:16337" x14ac:dyDescent="0.25">
      <c r="A216" s="5">
        <f ca="1">IF(ISNUMBER(SEARCH(INDIRECT(CELL("address")),Platforma_metis)),MAX(A$1:$A215)+1,0)</f>
        <v>0</v>
      </c>
      <c r="XDG216" s="6" t="str">
        <f ca="1">IF(XDH216=0,"",COUNTIF(A$1:$A216,"&gt;0"))</f>
        <v/>
      </c>
      <c r="XDH216" s="6">
        <f ca="1">IFERROR(SEARCH(INDIRECT(CELL("address")),B:B),0)</f>
        <v>0</v>
      </c>
      <c r="XDI216" s="6" t="str">
        <f ca="1">IFERROR(INDEX(Table_Projects_17[],MATCH(ROW(XDH215),XDG$2:XDG$1048576,0),1),"")</f>
        <v/>
      </c>
    </row>
    <row r="217" spans="1:1 16335:16337" x14ac:dyDescent="0.25">
      <c r="A217" s="5">
        <f ca="1">IF(ISNUMBER(SEARCH(INDIRECT(CELL("address")),Platforma_metis)),MAX(A$1:$A216)+1,0)</f>
        <v>0</v>
      </c>
      <c r="XDG217" s="6" t="str">
        <f ca="1">IF(XDH217=0,"",COUNTIF(A$1:$A217,"&gt;0"))</f>
        <v/>
      </c>
      <c r="XDH217" s="6">
        <f ca="1">IFERROR(SEARCH(INDIRECT(CELL("address")),B:B),0)</f>
        <v>0</v>
      </c>
      <c r="XDI217" s="6" t="str">
        <f ca="1">IFERROR(INDEX(Table_Projects_17[],MATCH(ROW(XDH216),XDG$2:XDG$1048576,0),1),"")</f>
        <v/>
      </c>
    </row>
    <row r="218" spans="1:1 16335:16337" x14ac:dyDescent="0.25">
      <c r="A218" s="5">
        <f ca="1">IF(ISNUMBER(SEARCH(INDIRECT(CELL("address")),Platforma_metis)),MAX(A$1:$A217)+1,0)</f>
        <v>0</v>
      </c>
      <c r="XDG218" s="6" t="str">
        <f ca="1">IF(XDH218=0,"",COUNTIF(A$1:$A218,"&gt;0"))</f>
        <v/>
      </c>
      <c r="XDH218" s="6">
        <f ca="1">IFERROR(SEARCH(INDIRECT(CELL("address")),B:B),0)</f>
        <v>0</v>
      </c>
      <c r="XDI218" s="6" t="str">
        <f ca="1">IFERROR(INDEX(Table_Projects_17[],MATCH(ROW(XDH217),XDG$2:XDG$1048576,0),1),"")</f>
        <v/>
      </c>
    </row>
    <row r="219" spans="1:1 16335:16337" x14ac:dyDescent="0.25">
      <c r="A219" s="5">
        <f ca="1">IF(ISNUMBER(SEARCH(INDIRECT(CELL("address")),Platforma_metis)),MAX(A$1:$A218)+1,0)</f>
        <v>0</v>
      </c>
      <c r="XDG219" s="6" t="str">
        <f ca="1">IF(XDH219=0,"",COUNTIF(A$1:$A219,"&gt;0"))</f>
        <v/>
      </c>
      <c r="XDH219" s="6">
        <f ca="1">IFERROR(SEARCH(INDIRECT(CELL("address")),B:B),0)</f>
        <v>0</v>
      </c>
      <c r="XDI219" s="6" t="str">
        <f ca="1">IFERROR(INDEX(Table_Projects_17[],MATCH(ROW(XDH218),XDG$2:XDG$1048576,0),1),"")</f>
        <v/>
      </c>
    </row>
    <row r="220" spans="1:1 16335:16337" x14ac:dyDescent="0.25">
      <c r="A220" s="5">
        <f ca="1">IF(ISNUMBER(SEARCH(INDIRECT(CELL("address")),Platforma_metis)),MAX(A$1:$A219)+1,0)</f>
        <v>0</v>
      </c>
      <c r="XDG220" s="6" t="str">
        <f ca="1">IF(XDH220=0,"",COUNTIF(A$1:$A220,"&gt;0"))</f>
        <v/>
      </c>
      <c r="XDH220" s="6">
        <f ca="1">IFERROR(SEARCH(INDIRECT(CELL("address")),B:B),0)</f>
        <v>0</v>
      </c>
      <c r="XDI220" s="6" t="str">
        <f ca="1">IFERROR(INDEX(Table_Projects_17[],MATCH(ROW(XDH219),XDG$2:XDG$1048576,0),1),"")</f>
        <v/>
      </c>
    </row>
    <row r="221" spans="1:1 16335:16337" x14ac:dyDescent="0.25">
      <c r="A221" s="5">
        <f ca="1">IF(ISNUMBER(SEARCH(INDIRECT(CELL("address")),Platforma_metis)),MAX(A$1:$A220)+1,0)</f>
        <v>0</v>
      </c>
      <c r="XDG221" s="6" t="str">
        <f ca="1">IF(XDH221=0,"",COUNTIF(A$1:$A221,"&gt;0"))</f>
        <v/>
      </c>
      <c r="XDH221" s="6">
        <f ca="1">IFERROR(SEARCH(INDIRECT(CELL("address")),B:B),0)</f>
        <v>0</v>
      </c>
      <c r="XDI221" s="6" t="str">
        <f ca="1">IFERROR(INDEX(Table_Projects_17[],MATCH(ROW(XDH220),XDG$2:XDG$1048576,0),1),"")</f>
        <v/>
      </c>
    </row>
    <row r="222" spans="1:1 16335:16337" x14ac:dyDescent="0.25">
      <c r="A222" s="5">
        <f ca="1">IF(ISNUMBER(SEARCH(INDIRECT(CELL("address")),Platforma_metis)),MAX(A$1:$A221)+1,0)</f>
        <v>0</v>
      </c>
      <c r="XDG222" s="6" t="str">
        <f ca="1">IF(XDH222=0,"",COUNTIF(A$1:$A222,"&gt;0"))</f>
        <v/>
      </c>
      <c r="XDH222" s="6">
        <f ca="1">IFERROR(SEARCH(INDIRECT(CELL("address")),B:B),0)</f>
        <v>0</v>
      </c>
      <c r="XDI222" s="6" t="str">
        <f ca="1">IFERROR(INDEX(Table_Projects_17[],MATCH(ROW(XDH221),XDG$2:XDG$1048576,0),1),"")</f>
        <v/>
      </c>
    </row>
    <row r="223" spans="1:1 16335:16337" x14ac:dyDescent="0.25">
      <c r="A223" s="5">
        <f ca="1">IF(ISNUMBER(SEARCH(INDIRECT(CELL("address")),Platforma_metis)),MAX(A$1:$A222)+1,0)</f>
        <v>0</v>
      </c>
      <c r="XDG223" s="6" t="str">
        <f ca="1">IF(XDH223=0,"",COUNTIF(A$1:$A223,"&gt;0"))</f>
        <v/>
      </c>
      <c r="XDH223" s="6">
        <f ca="1">IFERROR(SEARCH(INDIRECT(CELL("address")),B:B),0)</f>
        <v>0</v>
      </c>
      <c r="XDI223" s="6" t="str">
        <f ca="1">IFERROR(INDEX(Table_Projects_17[],MATCH(ROW(XDH222),XDG$2:XDG$1048576,0),1),"")</f>
        <v/>
      </c>
    </row>
    <row r="224" spans="1:1 16335:16337" x14ac:dyDescent="0.25">
      <c r="A224" s="5">
        <f ca="1">IF(ISNUMBER(SEARCH(INDIRECT(CELL("address")),Platforma_metis)),MAX(A$1:$A223)+1,0)</f>
        <v>0</v>
      </c>
      <c r="XDG224" s="6" t="str">
        <f ca="1">IF(XDH224=0,"",COUNTIF(A$1:$A224,"&gt;0"))</f>
        <v/>
      </c>
      <c r="XDH224" s="6">
        <f ca="1">IFERROR(SEARCH(INDIRECT(CELL("address")),B:B),0)</f>
        <v>0</v>
      </c>
      <c r="XDI224" s="6" t="str">
        <f ca="1">IFERROR(INDEX(Table_Projects_17[],MATCH(ROW(XDH223),XDG$2:XDG$1048576,0),1),"")</f>
        <v/>
      </c>
    </row>
    <row r="225" spans="1:1 16335:16337" x14ac:dyDescent="0.25">
      <c r="A225" s="5">
        <f ca="1">IF(ISNUMBER(SEARCH(INDIRECT(CELL("address")),Platforma_metis)),MAX(A$1:$A224)+1,0)</f>
        <v>0</v>
      </c>
      <c r="XDG225" s="6" t="str">
        <f ca="1">IF(XDH225=0,"",COUNTIF(A$1:$A225,"&gt;0"))</f>
        <v/>
      </c>
      <c r="XDH225" s="6">
        <f ca="1">IFERROR(SEARCH(INDIRECT(CELL("address")),B:B),0)</f>
        <v>0</v>
      </c>
      <c r="XDI225" s="6" t="str">
        <f ca="1">IFERROR(INDEX(Table_Projects_17[],MATCH(ROW(XDH224),XDG$2:XDG$1048576,0),1),"")</f>
        <v/>
      </c>
    </row>
    <row r="226" spans="1:1 16335:16337" x14ac:dyDescent="0.25">
      <c r="A226" s="5">
        <f ca="1">IF(ISNUMBER(SEARCH(INDIRECT(CELL("address")),Platforma_metis)),MAX(A$1:$A225)+1,0)</f>
        <v>0</v>
      </c>
      <c r="XDG226" s="6" t="str">
        <f ca="1">IF(XDH226=0,"",COUNTIF(A$1:$A226,"&gt;0"))</f>
        <v/>
      </c>
      <c r="XDH226" s="6">
        <f ca="1">IFERROR(SEARCH(INDIRECT(CELL("address")),B:B),0)</f>
        <v>0</v>
      </c>
      <c r="XDI226" s="6" t="str">
        <f ca="1">IFERROR(INDEX(Table_Projects_17[],MATCH(ROW(XDH225),XDG$2:XDG$1048576,0),1),"")</f>
        <v/>
      </c>
    </row>
    <row r="227" spans="1:1 16335:16337" x14ac:dyDescent="0.25">
      <c r="A227" s="5">
        <f ca="1">IF(ISNUMBER(SEARCH(INDIRECT(CELL("address")),Platforma_metis)),MAX(A$1:$A226)+1,0)</f>
        <v>0</v>
      </c>
      <c r="XDG227" s="6" t="str">
        <f ca="1">IF(XDH227=0,"",COUNTIF(A$1:$A227,"&gt;0"))</f>
        <v/>
      </c>
      <c r="XDH227" s="6">
        <f ca="1">IFERROR(SEARCH(INDIRECT(CELL("address")),B:B),0)</f>
        <v>0</v>
      </c>
      <c r="XDI227" s="6" t="str">
        <f ca="1">IFERROR(INDEX(Table_Projects_17[],MATCH(ROW(XDH226),XDG$2:XDG$1048576,0),1),"")</f>
        <v/>
      </c>
    </row>
    <row r="228" spans="1:1 16335:16337" x14ac:dyDescent="0.25">
      <c r="A228" s="5">
        <f ca="1">IF(ISNUMBER(SEARCH(INDIRECT(CELL("address")),Platforma_metis)),MAX(A$1:$A227)+1,0)</f>
        <v>0</v>
      </c>
      <c r="XDG228" s="6" t="str">
        <f ca="1">IF(XDH228=0,"",COUNTIF(A$1:$A228,"&gt;0"))</f>
        <v/>
      </c>
      <c r="XDH228" s="6">
        <f ca="1">IFERROR(SEARCH(INDIRECT(CELL("address")),B:B),0)</f>
        <v>0</v>
      </c>
      <c r="XDI228" s="6" t="str">
        <f ca="1">IFERROR(INDEX(Table_Projects_17[],MATCH(ROW(XDH227),XDG$2:XDG$1048576,0),1),"")</f>
        <v/>
      </c>
    </row>
    <row r="229" spans="1:1 16335:16337" x14ac:dyDescent="0.25">
      <c r="A229" s="5">
        <f ca="1">IF(ISNUMBER(SEARCH(INDIRECT(CELL("address")),Platforma_metis)),MAX(A$1:$A228)+1,0)</f>
        <v>0</v>
      </c>
      <c r="XDG229" s="6" t="str">
        <f ca="1">IF(XDH229=0,"",COUNTIF(A$1:$A229,"&gt;0"))</f>
        <v/>
      </c>
      <c r="XDH229" s="6">
        <f ca="1">IFERROR(SEARCH(INDIRECT(CELL("address")),B:B),0)</f>
        <v>0</v>
      </c>
      <c r="XDI229" s="6" t="str">
        <f ca="1">IFERROR(INDEX(Table_Projects_17[],MATCH(ROW(XDH228),XDG$2:XDG$1048576,0),1),"")</f>
        <v/>
      </c>
    </row>
    <row r="230" spans="1:1 16335:16337" x14ac:dyDescent="0.25">
      <c r="A230" s="5">
        <f ca="1">IF(ISNUMBER(SEARCH(INDIRECT(CELL("address")),Platforma_metis)),MAX(A$1:$A229)+1,0)</f>
        <v>0</v>
      </c>
      <c r="XDG230" s="6" t="str">
        <f ca="1">IF(XDH230=0,"",COUNTIF(A$1:$A230,"&gt;0"))</f>
        <v/>
      </c>
      <c r="XDH230" s="6">
        <f ca="1">IFERROR(SEARCH(INDIRECT(CELL("address")),B:B),0)</f>
        <v>0</v>
      </c>
      <c r="XDI230" s="6" t="str">
        <f ca="1">IFERROR(INDEX(Table_Projects_17[],MATCH(ROW(XDH229),XDG$2:XDG$1048576,0),1),"")</f>
        <v/>
      </c>
    </row>
    <row r="231" spans="1:1 16335:16337" x14ac:dyDescent="0.25">
      <c r="A231" s="5">
        <f ca="1">IF(ISNUMBER(SEARCH(INDIRECT(CELL("address")),Platforma_metis)),MAX(A$1:$A230)+1,0)</f>
        <v>0</v>
      </c>
      <c r="XDG231" s="6" t="str">
        <f ca="1">IF(XDH231=0,"",COUNTIF(A$1:$A231,"&gt;0"))</f>
        <v/>
      </c>
      <c r="XDH231" s="6">
        <f ca="1">IFERROR(SEARCH(INDIRECT(CELL("address")),B:B),0)</f>
        <v>0</v>
      </c>
      <c r="XDI231" s="6" t="str">
        <f ca="1">IFERROR(INDEX(Table_Projects_17[],MATCH(ROW(XDH230),XDG$2:XDG$1048576,0),1),"")</f>
        <v/>
      </c>
    </row>
    <row r="232" spans="1:1 16335:16337" x14ac:dyDescent="0.25">
      <c r="A232" s="5">
        <f ca="1">IF(ISNUMBER(SEARCH(INDIRECT(CELL("address")),Platforma_metis)),MAX(A$1:$A231)+1,0)</f>
        <v>0</v>
      </c>
      <c r="XDG232" s="6" t="str">
        <f ca="1">IF(XDH232=0,"",COUNTIF(A$1:$A232,"&gt;0"))</f>
        <v/>
      </c>
      <c r="XDH232" s="6">
        <f ca="1">IFERROR(SEARCH(INDIRECT(CELL("address")),B:B),0)</f>
        <v>0</v>
      </c>
      <c r="XDI232" s="6" t="str">
        <f ca="1">IFERROR(INDEX(Table_Projects_17[],MATCH(ROW(XDH231),XDG$2:XDG$1048576,0),1),"")</f>
        <v/>
      </c>
    </row>
    <row r="233" spans="1:1 16335:16337" x14ac:dyDescent="0.25">
      <c r="A233" s="5">
        <f ca="1">IF(ISNUMBER(SEARCH(INDIRECT(CELL("address")),Platforma_metis)),MAX(A$1:$A232)+1,0)</f>
        <v>0</v>
      </c>
      <c r="XDG233" s="6" t="str">
        <f ca="1">IF(XDH233=0,"",COUNTIF(A$1:$A233,"&gt;0"))</f>
        <v/>
      </c>
      <c r="XDH233" s="6">
        <f ca="1">IFERROR(SEARCH(INDIRECT(CELL("address")),B:B),0)</f>
        <v>0</v>
      </c>
      <c r="XDI233" s="6" t="str">
        <f ca="1">IFERROR(INDEX(Table_Projects_17[],MATCH(ROW(XDH232),XDG$2:XDG$1048576,0),1),"")</f>
        <v/>
      </c>
    </row>
    <row r="234" spans="1:1 16335:16337" x14ac:dyDescent="0.25">
      <c r="A234" s="5">
        <f ca="1">IF(ISNUMBER(SEARCH(INDIRECT(CELL("address")),Platforma_metis)),MAX(A$1:$A233)+1,0)</f>
        <v>0</v>
      </c>
      <c r="XDG234" s="6" t="str">
        <f ca="1">IF(XDH234=0,"",COUNTIF(A$1:$A234,"&gt;0"))</f>
        <v/>
      </c>
      <c r="XDH234" s="6">
        <f ca="1">IFERROR(SEARCH(INDIRECT(CELL("address")),B:B),0)</f>
        <v>0</v>
      </c>
      <c r="XDI234" s="6" t="str">
        <f ca="1">IFERROR(INDEX(Table_Projects_17[],MATCH(ROW(XDH233),XDG$2:XDG$1048576,0),1),"")</f>
        <v/>
      </c>
    </row>
    <row r="235" spans="1:1 16335:16337" x14ac:dyDescent="0.25">
      <c r="A235" s="5">
        <f ca="1">IF(ISNUMBER(SEARCH(INDIRECT(CELL("address")),Platforma_metis)),MAX(A$1:$A234)+1,0)</f>
        <v>0</v>
      </c>
      <c r="XDG235" s="6" t="str">
        <f ca="1">IF(XDH235=0,"",COUNTIF(A$1:$A235,"&gt;0"))</f>
        <v/>
      </c>
      <c r="XDH235" s="6">
        <f ca="1">IFERROR(SEARCH(INDIRECT(CELL("address")),B:B),0)</f>
        <v>0</v>
      </c>
      <c r="XDI235" s="6" t="str">
        <f ca="1">IFERROR(INDEX(Table_Projects_17[],MATCH(ROW(XDH234),XDG$2:XDG$1048576,0),1),"")</f>
        <v/>
      </c>
    </row>
    <row r="236" spans="1:1 16335:16337" x14ac:dyDescent="0.25">
      <c r="A236" s="5">
        <f ca="1">IF(ISNUMBER(SEARCH(INDIRECT(CELL("address")),Platforma_metis)),MAX(A$1:$A235)+1,0)</f>
        <v>0</v>
      </c>
      <c r="XDG236" s="6" t="str">
        <f ca="1">IF(XDH236=0,"",COUNTIF(A$1:$A236,"&gt;0"))</f>
        <v/>
      </c>
      <c r="XDH236" s="6">
        <f ca="1">IFERROR(SEARCH(INDIRECT(CELL("address")),B:B),0)</f>
        <v>0</v>
      </c>
      <c r="XDI236" s="6" t="str">
        <f ca="1">IFERROR(INDEX(Table_Projects_17[],MATCH(ROW(XDH235),XDG$2:XDG$1048576,0),1),"")</f>
        <v/>
      </c>
    </row>
    <row r="237" spans="1:1 16335:16337" x14ac:dyDescent="0.25">
      <c r="A237" s="5">
        <f ca="1">IF(ISNUMBER(SEARCH(INDIRECT(CELL("address")),Platforma_metis)),MAX(A$1:$A236)+1,0)</f>
        <v>0</v>
      </c>
      <c r="XDG237" s="6" t="str">
        <f ca="1">IF(XDH237=0,"",COUNTIF(A$1:$A237,"&gt;0"))</f>
        <v/>
      </c>
      <c r="XDH237" s="6">
        <f ca="1">IFERROR(SEARCH(INDIRECT(CELL("address")),B:B),0)</f>
        <v>0</v>
      </c>
      <c r="XDI237" s="6" t="str">
        <f ca="1">IFERROR(INDEX(Table_Projects_17[],MATCH(ROW(XDH236),XDG$2:XDG$1048576,0),1),"")</f>
        <v/>
      </c>
    </row>
    <row r="238" spans="1:1 16335:16337" x14ac:dyDescent="0.25">
      <c r="A238" s="5">
        <f ca="1">IF(ISNUMBER(SEARCH(INDIRECT(CELL("address")),Platforma_metis)),MAX(A$1:$A237)+1,0)</f>
        <v>0</v>
      </c>
      <c r="XDG238" s="6" t="str">
        <f ca="1">IF(XDH238=0,"",COUNTIF(A$1:$A238,"&gt;0"))</f>
        <v/>
      </c>
      <c r="XDH238" s="6">
        <f ca="1">IFERROR(SEARCH(INDIRECT(CELL("address")),B:B),0)</f>
        <v>0</v>
      </c>
      <c r="XDI238" s="6" t="str">
        <f ca="1">IFERROR(INDEX(Table_Projects_17[],MATCH(ROW(XDH237),XDG$2:XDG$1048576,0),1),"")</f>
        <v/>
      </c>
    </row>
    <row r="239" spans="1:1 16335:16337" x14ac:dyDescent="0.25">
      <c r="A239" s="5">
        <f ca="1">IF(ISNUMBER(SEARCH(INDIRECT(CELL("address")),Platforma_metis)),MAX(A$1:$A238)+1,0)</f>
        <v>0</v>
      </c>
      <c r="XDG239" s="6" t="str">
        <f ca="1">IF(XDH239=0,"",COUNTIF(A$1:$A239,"&gt;0"))</f>
        <v/>
      </c>
      <c r="XDH239" s="6">
        <f ca="1">IFERROR(SEARCH(INDIRECT(CELL("address")),B:B),0)</f>
        <v>0</v>
      </c>
      <c r="XDI239" s="6" t="str">
        <f ca="1">IFERROR(INDEX(Table_Projects_17[],MATCH(ROW(XDH238),XDG$2:XDG$1048576,0),1),"")</f>
        <v/>
      </c>
    </row>
    <row r="240" spans="1:1 16335:16337" x14ac:dyDescent="0.25">
      <c r="A240" s="5">
        <f ca="1">IF(ISNUMBER(SEARCH(INDIRECT(CELL("address")),Platforma_metis)),MAX(A$1:$A239)+1,0)</f>
        <v>0</v>
      </c>
      <c r="XDG240" s="6" t="str">
        <f ca="1">IF(XDH240=0,"",COUNTIF(A$1:$A240,"&gt;0"))</f>
        <v/>
      </c>
      <c r="XDH240" s="6">
        <f ca="1">IFERROR(SEARCH(INDIRECT(CELL("address")),B:B),0)</f>
        <v>0</v>
      </c>
      <c r="XDI240" s="6" t="str">
        <f ca="1">IFERROR(INDEX(Table_Projects_17[],MATCH(ROW(XDH239),XDG$2:XDG$1048576,0),1),"")</f>
        <v/>
      </c>
    </row>
    <row r="241" spans="1:1 16335:16337" x14ac:dyDescent="0.25">
      <c r="A241" s="5">
        <f ca="1">IF(ISNUMBER(SEARCH(INDIRECT(CELL("address")),Platforma_metis)),MAX(A$1:$A240)+1,0)</f>
        <v>0</v>
      </c>
      <c r="XDG241" s="6" t="str">
        <f ca="1">IF(XDH241=0,"",COUNTIF(A$1:$A241,"&gt;0"))</f>
        <v/>
      </c>
      <c r="XDH241" s="6">
        <f ca="1">IFERROR(SEARCH(INDIRECT(CELL("address")),B:B),0)</f>
        <v>0</v>
      </c>
      <c r="XDI241" s="6" t="str">
        <f ca="1">IFERROR(INDEX(Table_Projects_17[],MATCH(ROW(XDH240),XDG$2:XDG$1048576,0),1),"")</f>
        <v/>
      </c>
    </row>
    <row r="242" spans="1:1 16335:16337" x14ac:dyDescent="0.25">
      <c r="A242" s="5">
        <f ca="1">IF(ISNUMBER(SEARCH(INDIRECT(CELL("address")),Platforma_metis)),MAX(A$1:$A241)+1,0)</f>
        <v>0</v>
      </c>
      <c r="XDG242" s="6" t="str">
        <f ca="1">IF(XDH242=0,"",COUNTIF(A$1:$A242,"&gt;0"))</f>
        <v/>
      </c>
      <c r="XDH242" s="6">
        <f ca="1">IFERROR(SEARCH(INDIRECT(CELL("address")),B:B),0)</f>
        <v>0</v>
      </c>
      <c r="XDI242" s="6" t="str">
        <f ca="1">IFERROR(INDEX(Table_Projects_17[],MATCH(ROW(XDH241),XDG$2:XDG$1048576,0),1),"")</f>
        <v/>
      </c>
    </row>
    <row r="243" spans="1:1 16335:16337" x14ac:dyDescent="0.25">
      <c r="A243" s="5">
        <f ca="1">IF(ISNUMBER(SEARCH(INDIRECT(CELL("address")),Platforma_metis)),MAX(A$1:$A242)+1,0)</f>
        <v>0</v>
      </c>
      <c r="XDG243" s="6" t="str">
        <f ca="1">IF(XDH243=0,"",COUNTIF(A$1:$A243,"&gt;0"))</f>
        <v/>
      </c>
      <c r="XDH243" s="6">
        <f ca="1">IFERROR(SEARCH(INDIRECT(CELL("address")),B:B),0)</f>
        <v>0</v>
      </c>
      <c r="XDI243" s="6" t="str">
        <f ca="1">IFERROR(INDEX(Table_Projects_17[],MATCH(ROW(XDH242),XDG$2:XDG$1048576,0),1),"")</f>
        <v/>
      </c>
    </row>
    <row r="244" spans="1:1 16335:16337" x14ac:dyDescent="0.25">
      <c r="A244" s="5">
        <f ca="1">IF(ISNUMBER(SEARCH(INDIRECT(CELL("address")),Platforma_metis)),MAX(A$1:$A243)+1,0)</f>
        <v>0</v>
      </c>
      <c r="XDG244" s="6" t="str">
        <f ca="1">IF(XDH244=0,"",COUNTIF(A$1:$A244,"&gt;0"))</f>
        <v/>
      </c>
      <c r="XDH244" s="6">
        <f ca="1">IFERROR(SEARCH(INDIRECT(CELL("address")),B:B),0)</f>
        <v>0</v>
      </c>
      <c r="XDI244" s="6" t="str">
        <f ca="1">IFERROR(INDEX(Table_Projects_17[],MATCH(ROW(XDH243),XDG$2:XDG$1048576,0),1),"")</f>
        <v/>
      </c>
    </row>
    <row r="245" spans="1:1 16335:16337" x14ac:dyDescent="0.25">
      <c r="A245" s="5">
        <f ca="1">IF(ISNUMBER(SEARCH(INDIRECT(CELL("address")),Platforma_metis)),MAX(A$1:$A244)+1,0)</f>
        <v>0</v>
      </c>
      <c r="XDG245" s="6" t="str">
        <f ca="1">IF(XDH245=0,"",COUNTIF(A$1:$A245,"&gt;0"))</f>
        <v/>
      </c>
      <c r="XDH245" s="6">
        <f ca="1">IFERROR(SEARCH(INDIRECT(CELL("address")),B:B),0)</f>
        <v>0</v>
      </c>
      <c r="XDI245" s="6" t="str">
        <f ca="1">IFERROR(INDEX(Table_Projects_17[],MATCH(ROW(XDH244),XDG$2:XDG$1048576,0),1),"")</f>
        <v/>
      </c>
    </row>
    <row r="246" spans="1:1 16335:16337" x14ac:dyDescent="0.25">
      <c r="A246" s="5">
        <f ca="1">IF(ISNUMBER(SEARCH(INDIRECT(CELL("address")),Platforma_metis)),MAX(A$1:$A245)+1,0)</f>
        <v>0</v>
      </c>
      <c r="XDG246" s="6" t="str">
        <f ca="1">IF(XDH246=0,"",COUNTIF(A$1:$A246,"&gt;0"))</f>
        <v/>
      </c>
      <c r="XDH246" s="6">
        <f ca="1">IFERROR(SEARCH(INDIRECT(CELL("address")),B:B),0)</f>
        <v>0</v>
      </c>
      <c r="XDI246" s="6" t="str">
        <f ca="1">IFERROR(INDEX(Table_Projects_17[],MATCH(ROW(XDH245),XDG$2:XDG$1048576,0),1),"")</f>
        <v/>
      </c>
    </row>
    <row r="247" spans="1:1 16335:16337" x14ac:dyDescent="0.25">
      <c r="A247" s="5">
        <f ca="1">IF(ISNUMBER(SEARCH(INDIRECT(CELL("address")),Platforma_metis)),MAX(A$1:$A246)+1,0)</f>
        <v>0</v>
      </c>
      <c r="XDG247" s="6" t="str">
        <f ca="1">IF(XDH247=0,"",COUNTIF(A$1:$A247,"&gt;0"))</f>
        <v/>
      </c>
      <c r="XDH247" s="6">
        <f ca="1">IFERROR(SEARCH(INDIRECT(CELL("address")),B:B),0)</f>
        <v>0</v>
      </c>
      <c r="XDI247" s="6" t="str">
        <f ca="1">IFERROR(INDEX(Table_Projects_17[],MATCH(ROW(XDH246),XDG$2:XDG$1048576,0),1),"")</f>
        <v/>
      </c>
    </row>
    <row r="248" spans="1:1 16335:16337" x14ac:dyDescent="0.25">
      <c r="A248" s="5">
        <f ca="1">IF(ISNUMBER(SEARCH(INDIRECT(CELL("address")),Platforma_metis)),MAX(A$1:$A247)+1,0)</f>
        <v>0</v>
      </c>
      <c r="XDG248" s="6" t="str">
        <f ca="1">IF(XDH248=0,"",COUNTIF(A$1:$A248,"&gt;0"))</f>
        <v/>
      </c>
      <c r="XDH248" s="6">
        <f ca="1">IFERROR(SEARCH(INDIRECT(CELL("address")),B:B),0)</f>
        <v>0</v>
      </c>
      <c r="XDI248" s="6" t="str">
        <f ca="1">IFERROR(INDEX(Table_Projects_17[],MATCH(ROW(XDH247),XDG$2:XDG$1048576,0),1),"")</f>
        <v/>
      </c>
    </row>
    <row r="249" spans="1:1 16335:16337" x14ac:dyDescent="0.25">
      <c r="A249" s="5">
        <f ca="1">IF(ISNUMBER(SEARCH(INDIRECT(CELL("address")),Platforma_metis)),MAX(A$1:$A248)+1,0)</f>
        <v>0</v>
      </c>
      <c r="XDG249" s="6" t="str">
        <f ca="1">IF(XDH249=0,"",COUNTIF(A$1:$A249,"&gt;0"))</f>
        <v/>
      </c>
      <c r="XDH249" s="6">
        <f ca="1">IFERROR(SEARCH(INDIRECT(CELL("address")),B:B),0)</f>
        <v>0</v>
      </c>
      <c r="XDI249" s="6" t="str">
        <f ca="1">IFERROR(INDEX(Table_Projects_17[],MATCH(ROW(XDH248),XDG$2:XDG$1048576,0),1),"")</f>
        <v/>
      </c>
    </row>
    <row r="250" spans="1:1 16335:16337" x14ac:dyDescent="0.25">
      <c r="A250" s="5">
        <f ca="1">IF(ISNUMBER(SEARCH(INDIRECT(CELL("address")),Platforma_metis)),MAX(A$1:$A249)+1,0)</f>
        <v>0</v>
      </c>
      <c r="XDG250" s="6" t="str">
        <f ca="1">IF(XDH250=0,"",COUNTIF(A$1:$A250,"&gt;0"))</f>
        <v/>
      </c>
      <c r="XDH250" s="6">
        <f ca="1">IFERROR(SEARCH(INDIRECT(CELL("address")),B:B),0)</f>
        <v>0</v>
      </c>
      <c r="XDI250" s="6" t="str">
        <f ca="1">IFERROR(INDEX(Table_Projects_17[],MATCH(ROW(XDH249),XDG$2:XDG$1048576,0),1),"")</f>
        <v/>
      </c>
    </row>
    <row r="251" spans="1:1 16335:16337" x14ac:dyDescent="0.25">
      <c r="A251" s="5">
        <f ca="1">IF(ISNUMBER(SEARCH(INDIRECT(CELL("address")),Platforma_metis)),MAX(A$1:$A250)+1,0)</f>
        <v>0</v>
      </c>
      <c r="XDG251" s="6" t="str">
        <f ca="1">IF(XDH251=0,"",COUNTIF(A$1:$A251,"&gt;0"))</f>
        <v/>
      </c>
      <c r="XDH251" s="6">
        <f ca="1">IFERROR(SEARCH(INDIRECT(CELL("address")),B:B),0)</f>
        <v>0</v>
      </c>
      <c r="XDI251" s="6" t="str">
        <f ca="1">IFERROR(INDEX(Table_Projects_17[],MATCH(ROW(XDH250),XDG$2:XDG$1048576,0),1),"")</f>
        <v/>
      </c>
    </row>
    <row r="252" spans="1:1 16335:16337" x14ac:dyDescent="0.25">
      <c r="A252" s="5">
        <f ca="1">IF(ISNUMBER(SEARCH(INDIRECT(CELL("address")),Platforma_metis)),MAX(A$1:$A251)+1,0)</f>
        <v>0</v>
      </c>
      <c r="XDG252" s="6" t="str">
        <f ca="1">IF(XDH252=0,"",COUNTIF(A$1:$A252,"&gt;0"))</f>
        <v/>
      </c>
      <c r="XDH252" s="6">
        <f ca="1">IFERROR(SEARCH(INDIRECT(CELL("address")),B:B),0)</f>
        <v>0</v>
      </c>
      <c r="XDI252" s="6" t="str">
        <f ca="1">IFERROR(INDEX(Table_Projects_17[],MATCH(ROW(XDH251),XDG$2:XDG$1048576,0),1),"")</f>
        <v/>
      </c>
    </row>
    <row r="253" spans="1:1 16335:16337" x14ac:dyDescent="0.25">
      <c r="A253" s="5">
        <f ca="1">IF(ISNUMBER(SEARCH(INDIRECT(CELL("address")),Platforma_metis)),MAX(A$1:$A252)+1,0)</f>
        <v>0</v>
      </c>
      <c r="XDG253" s="6" t="str">
        <f ca="1">IF(XDH253=0,"",COUNTIF(A$1:$A253,"&gt;0"))</f>
        <v/>
      </c>
      <c r="XDH253" s="6">
        <f ca="1">IFERROR(SEARCH(INDIRECT(CELL("address")),B:B),0)</f>
        <v>0</v>
      </c>
      <c r="XDI253" s="6" t="str">
        <f ca="1">IFERROR(INDEX(Table_Projects_17[],MATCH(ROW(XDH252),XDG$2:XDG$1048576,0),1),"")</f>
        <v/>
      </c>
    </row>
    <row r="254" spans="1:1 16335:16337" x14ac:dyDescent="0.25">
      <c r="A254" s="5">
        <f ca="1">IF(ISNUMBER(SEARCH(INDIRECT(CELL("address")),Platforma_metis)),MAX(A$1:$A253)+1,0)</f>
        <v>0</v>
      </c>
      <c r="XDG254" s="6" t="str">
        <f ca="1">IF(XDH254=0,"",COUNTIF(A$1:$A254,"&gt;0"))</f>
        <v/>
      </c>
      <c r="XDH254" s="6">
        <f ca="1">IFERROR(SEARCH(INDIRECT(CELL("address")),B:B),0)</f>
        <v>0</v>
      </c>
      <c r="XDI254" s="6" t="str">
        <f ca="1">IFERROR(INDEX(Table_Projects_17[],MATCH(ROW(XDH253),XDG$2:XDG$1048576,0),1),"")</f>
        <v/>
      </c>
    </row>
    <row r="255" spans="1:1 16335:16337" x14ac:dyDescent="0.25">
      <c r="A255" s="5">
        <f ca="1">IF(ISNUMBER(SEARCH(INDIRECT(CELL("address")),Platforma_metis)),MAX(A$1:$A254)+1,0)</f>
        <v>0</v>
      </c>
      <c r="XDG255" s="6" t="str">
        <f ca="1">IF(XDH255=0,"",COUNTIF(A$1:$A255,"&gt;0"))</f>
        <v/>
      </c>
      <c r="XDH255" s="6">
        <f ca="1">IFERROR(SEARCH(INDIRECT(CELL("address")),B:B),0)</f>
        <v>0</v>
      </c>
      <c r="XDI255" s="6" t="str">
        <f ca="1">IFERROR(INDEX(Table_Projects_17[],MATCH(ROW(XDH254),XDG$2:XDG$1048576,0),1),"")</f>
        <v/>
      </c>
    </row>
    <row r="256" spans="1:1 16335:16337" x14ac:dyDescent="0.25">
      <c r="A256" s="5">
        <f ca="1">IF(ISNUMBER(SEARCH(INDIRECT(CELL("address")),Platforma_metis)),MAX(A$1:$A255)+1,0)</f>
        <v>0</v>
      </c>
      <c r="XDG256" s="6" t="str">
        <f ca="1">IF(XDH256=0,"",COUNTIF(A$1:$A256,"&gt;0"))</f>
        <v/>
      </c>
      <c r="XDH256" s="6">
        <f ca="1">IFERROR(SEARCH(INDIRECT(CELL("address")),B:B),0)</f>
        <v>0</v>
      </c>
      <c r="XDI256" s="6" t="str">
        <f ca="1">IFERROR(INDEX(Table_Projects_17[],MATCH(ROW(XDH255),XDG$2:XDG$1048576,0),1),"")</f>
        <v/>
      </c>
    </row>
    <row r="257" spans="1:1 16335:16337" x14ac:dyDescent="0.25">
      <c r="A257" s="5">
        <f ca="1">IF(ISNUMBER(SEARCH(INDIRECT(CELL("address")),Platforma_metis)),MAX(A$1:$A256)+1,0)</f>
        <v>0</v>
      </c>
      <c r="XDG257" s="6" t="str">
        <f ca="1">IF(XDH257=0,"",COUNTIF(A$1:$A257,"&gt;0"))</f>
        <v/>
      </c>
      <c r="XDH257" s="6">
        <f ca="1">IFERROR(SEARCH(INDIRECT(CELL("address")),B:B),0)</f>
        <v>0</v>
      </c>
      <c r="XDI257" s="6" t="str">
        <f ca="1">IFERROR(INDEX(Table_Projects_17[],MATCH(ROW(XDH256),XDG$2:XDG$1048576,0),1),"")</f>
        <v/>
      </c>
    </row>
    <row r="258" spans="1:1 16335:16337" x14ac:dyDescent="0.25">
      <c r="A258" s="5">
        <f ca="1">IF(ISNUMBER(SEARCH(INDIRECT(CELL("address")),Platforma_metis)),MAX(A$1:$A257)+1,0)</f>
        <v>0</v>
      </c>
      <c r="XDG258" s="6" t="str">
        <f ca="1">IF(XDH258=0,"",COUNTIF(A$1:$A258,"&gt;0"))</f>
        <v/>
      </c>
      <c r="XDH258" s="6">
        <f ca="1">IFERROR(SEARCH(INDIRECT(CELL("address")),B:B),0)</f>
        <v>0</v>
      </c>
      <c r="XDI258" s="6" t="str">
        <f ca="1">IFERROR(INDEX(Table_Projects_17[],MATCH(ROW(XDH257),XDG$2:XDG$1048576,0),1),"")</f>
        <v/>
      </c>
    </row>
    <row r="259" spans="1:1 16335:16337" x14ac:dyDescent="0.25">
      <c r="A259" s="5">
        <f ca="1">IF(ISNUMBER(SEARCH(INDIRECT(CELL("address")),Platforma_metis)),MAX(A$1:$A258)+1,0)</f>
        <v>0</v>
      </c>
      <c r="XDG259" s="6" t="str">
        <f ca="1">IF(XDH259=0,"",COUNTIF(A$1:$A259,"&gt;0"))</f>
        <v/>
      </c>
      <c r="XDH259" s="6">
        <f ca="1">IFERROR(SEARCH(INDIRECT(CELL("address")),B:B),0)</f>
        <v>0</v>
      </c>
      <c r="XDI259" s="6" t="str">
        <f ca="1">IFERROR(INDEX(Table_Projects_17[],MATCH(ROW(XDH258),XDG$2:XDG$1048576,0),1),"")</f>
        <v/>
      </c>
    </row>
    <row r="260" spans="1:1 16335:16337" x14ac:dyDescent="0.25">
      <c r="A260" s="5">
        <f ca="1">IF(ISNUMBER(SEARCH(INDIRECT(CELL("address")),Platforma_metis)),MAX(A$1:$A259)+1,0)</f>
        <v>0</v>
      </c>
      <c r="XDG260" s="6" t="str">
        <f ca="1">IF(XDH260=0,"",COUNTIF(A$1:$A260,"&gt;0"))</f>
        <v/>
      </c>
      <c r="XDH260" s="6">
        <f ca="1">IFERROR(SEARCH(INDIRECT(CELL("address")),B:B),0)</f>
        <v>0</v>
      </c>
      <c r="XDI260" s="6" t="str">
        <f ca="1">IFERROR(INDEX(Table_Projects_17[],MATCH(ROW(XDH259),XDG$2:XDG$1048576,0),1),"")</f>
        <v/>
      </c>
    </row>
    <row r="261" spans="1:1 16335:16337" x14ac:dyDescent="0.25">
      <c r="A261" s="5">
        <f ca="1">IF(ISNUMBER(SEARCH(INDIRECT(CELL("address")),Platforma_metis)),MAX(A$1:$A260)+1,0)</f>
        <v>0</v>
      </c>
      <c r="XDG261" s="6" t="str">
        <f ca="1">IF(XDH261=0,"",COUNTIF(A$1:$A261,"&gt;0"))</f>
        <v/>
      </c>
      <c r="XDH261" s="6">
        <f ca="1">IFERROR(SEARCH(INDIRECT(CELL("address")),B:B),0)</f>
        <v>0</v>
      </c>
      <c r="XDI261" s="6" t="str">
        <f ca="1">IFERROR(INDEX(Table_Projects_17[],MATCH(ROW(XDH260),XDG$2:XDG$1048576,0),1),"")</f>
        <v/>
      </c>
    </row>
    <row r="262" spans="1:1 16335:16337" x14ac:dyDescent="0.25">
      <c r="A262" s="5">
        <f ca="1">IF(ISNUMBER(SEARCH(INDIRECT(CELL("address")),Platforma_metis)),MAX(A$1:$A261)+1,0)</f>
        <v>0</v>
      </c>
      <c r="XDG262" s="6" t="str">
        <f ca="1">IF(XDH262=0,"",COUNTIF(A$1:$A262,"&gt;0"))</f>
        <v/>
      </c>
      <c r="XDH262" s="6">
        <f ca="1">IFERROR(SEARCH(INDIRECT(CELL("address")),B:B),0)</f>
        <v>0</v>
      </c>
      <c r="XDI262" s="6" t="str">
        <f ca="1">IFERROR(INDEX(Table_Projects_17[],MATCH(ROW(XDH261),XDG$2:XDG$1048576,0),1),"")</f>
        <v/>
      </c>
    </row>
    <row r="263" spans="1:1 16335:16337" x14ac:dyDescent="0.25">
      <c r="A263" s="5">
        <f ca="1">IF(ISNUMBER(SEARCH(INDIRECT(CELL("address")),Platforma_metis)),MAX(A$1:$A262)+1,0)</f>
        <v>0</v>
      </c>
      <c r="XDG263" s="6" t="str">
        <f ca="1">IF(XDH263=0,"",COUNTIF(A$1:$A263,"&gt;0"))</f>
        <v/>
      </c>
      <c r="XDH263" s="6">
        <f ca="1">IFERROR(SEARCH(INDIRECT(CELL("address")),B:B),0)</f>
        <v>0</v>
      </c>
      <c r="XDI263" s="6" t="str">
        <f ca="1">IFERROR(INDEX(Table_Projects_17[],MATCH(ROW(XDH262),XDG$2:XDG$1048576,0),1),"")</f>
        <v/>
      </c>
    </row>
    <row r="264" spans="1:1 16335:16337" x14ac:dyDescent="0.25">
      <c r="A264" s="5">
        <f ca="1">IF(ISNUMBER(SEARCH(INDIRECT(CELL("address")),Platforma_metis)),MAX(A$1:$A263)+1,0)</f>
        <v>0</v>
      </c>
      <c r="XDG264" s="6" t="str">
        <f ca="1">IF(XDH264=0,"",COUNTIF(A$1:$A264,"&gt;0"))</f>
        <v/>
      </c>
      <c r="XDH264" s="6">
        <f ca="1">IFERROR(SEARCH(INDIRECT(CELL("address")),B:B),0)</f>
        <v>0</v>
      </c>
      <c r="XDI264" s="6" t="str">
        <f ca="1">IFERROR(INDEX(Table_Projects_17[],MATCH(ROW(XDH263),XDG$2:XDG$1048576,0),1),"")</f>
        <v/>
      </c>
    </row>
    <row r="265" spans="1:1 16335:16337" x14ac:dyDescent="0.25">
      <c r="A265" s="5">
        <f ca="1">IF(ISNUMBER(SEARCH(INDIRECT(CELL("address")),Platforma_metis)),MAX(A$1:$A264)+1,0)</f>
        <v>0</v>
      </c>
      <c r="XDG265" s="6" t="str">
        <f ca="1">IF(XDH265=0,"",COUNTIF(A$1:$A265,"&gt;0"))</f>
        <v/>
      </c>
      <c r="XDH265" s="6">
        <f ca="1">IFERROR(SEARCH(INDIRECT(CELL("address")),B:B),0)</f>
        <v>0</v>
      </c>
      <c r="XDI265" s="6" t="str">
        <f ca="1">IFERROR(INDEX(Table_Projects_17[],MATCH(ROW(XDH264),XDG$2:XDG$1048576,0),1),"")</f>
        <v/>
      </c>
    </row>
    <row r="266" spans="1:1 16335:16337" x14ac:dyDescent="0.25">
      <c r="A266" s="5">
        <f ca="1">IF(ISNUMBER(SEARCH(INDIRECT(CELL("address")),Platforma_metis)),MAX(A$1:$A265)+1,0)</f>
        <v>0</v>
      </c>
      <c r="XDG266" s="6" t="str">
        <f ca="1">IF(XDH266=0,"",COUNTIF(A$1:$A266,"&gt;0"))</f>
        <v/>
      </c>
      <c r="XDH266" s="6">
        <f ca="1">IFERROR(SEARCH(INDIRECT(CELL("address")),B:B),0)</f>
        <v>0</v>
      </c>
      <c r="XDI266" s="6" t="str">
        <f ca="1">IFERROR(INDEX(Table_Projects_17[],MATCH(ROW(XDH265),XDG$2:XDG$1048576,0),1),"")</f>
        <v/>
      </c>
    </row>
    <row r="267" spans="1:1 16335:16337" x14ac:dyDescent="0.25">
      <c r="A267" s="5">
        <f ca="1">IF(ISNUMBER(SEARCH(INDIRECT(CELL("address")),Platforma_metis)),MAX(A$1:$A266)+1,0)</f>
        <v>0</v>
      </c>
      <c r="XDG267" s="6" t="str">
        <f ca="1">IF(XDH267=0,"",COUNTIF(A$1:$A267,"&gt;0"))</f>
        <v/>
      </c>
      <c r="XDH267" s="6">
        <f ca="1">IFERROR(SEARCH(INDIRECT(CELL("address")),B:B),0)</f>
        <v>0</v>
      </c>
      <c r="XDI267" s="6" t="str">
        <f ca="1">IFERROR(INDEX(Table_Projects_17[],MATCH(ROW(XDH266),XDG$2:XDG$1048576,0),1),"")</f>
        <v/>
      </c>
    </row>
    <row r="268" spans="1:1 16335:16337" x14ac:dyDescent="0.25">
      <c r="A268" s="5">
        <f ca="1">IF(ISNUMBER(SEARCH(INDIRECT(CELL("address")),Platforma_metis)),MAX(A$1:$A267)+1,0)</f>
        <v>0</v>
      </c>
      <c r="XDG268" s="6" t="str">
        <f ca="1">IF(XDH268=0,"",COUNTIF(A$1:$A268,"&gt;0"))</f>
        <v/>
      </c>
      <c r="XDH268" s="6">
        <f ca="1">IFERROR(SEARCH(INDIRECT(CELL("address")),B:B),0)</f>
        <v>0</v>
      </c>
      <c r="XDI268" s="6" t="str">
        <f ca="1">IFERROR(INDEX(Table_Projects_17[],MATCH(ROW(XDH267),XDG$2:XDG$1048576,0),1),"")</f>
        <v/>
      </c>
    </row>
    <row r="269" spans="1:1 16335:16337" x14ac:dyDescent="0.25">
      <c r="A269" s="5">
        <f ca="1">IF(ISNUMBER(SEARCH(INDIRECT(CELL("address")),Platforma_metis)),MAX(A$1:$A268)+1,0)</f>
        <v>0</v>
      </c>
      <c r="XDG269" s="6" t="str">
        <f ca="1">IF(XDH269=0,"",COUNTIF(A$1:$A269,"&gt;0"))</f>
        <v/>
      </c>
      <c r="XDH269" s="6">
        <f ca="1">IFERROR(SEARCH(INDIRECT(CELL("address")),B:B),0)</f>
        <v>0</v>
      </c>
      <c r="XDI269" s="6" t="str">
        <f ca="1">IFERROR(INDEX(Table_Projects_17[],MATCH(ROW(XDH268),XDG$2:XDG$1048576,0),1),"")</f>
        <v/>
      </c>
    </row>
    <row r="270" spans="1:1 16335:16337" x14ac:dyDescent="0.25">
      <c r="A270" s="5">
        <f ca="1">IF(ISNUMBER(SEARCH(INDIRECT(CELL("address")),Platforma_metis)),MAX(A$1:$A269)+1,0)</f>
        <v>0</v>
      </c>
      <c r="XDG270" s="6" t="str">
        <f ca="1">IF(XDH270=0,"",COUNTIF(A$1:$A270,"&gt;0"))</f>
        <v/>
      </c>
      <c r="XDH270" s="6">
        <f ca="1">IFERROR(SEARCH(INDIRECT(CELL("address")),B:B),0)</f>
        <v>0</v>
      </c>
      <c r="XDI270" s="6" t="str">
        <f ca="1">IFERROR(INDEX(Table_Projects_17[],MATCH(ROW(XDH269),XDG$2:XDG$1048576,0),1),"")</f>
        <v/>
      </c>
    </row>
    <row r="271" spans="1:1 16335:16337" x14ac:dyDescent="0.25">
      <c r="A271" s="5">
        <f ca="1">IF(ISNUMBER(SEARCH(INDIRECT(CELL("address")),Platforma_metis)),MAX(A$1:$A270)+1,0)</f>
        <v>0</v>
      </c>
      <c r="XDG271" s="6" t="str">
        <f ca="1">IF(XDH271=0,"",COUNTIF(A$1:$A271,"&gt;0"))</f>
        <v/>
      </c>
      <c r="XDH271" s="6">
        <f ca="1">IFERROR(SEARCH(INDIRECT(CELL("address")),B:B),0)</f>
        <v>0</v>
      </c>
      <c r="XDI271" s="6" t="str">
        <f ca="1">IFERROR(INDEX(Table_Projects_17[],MATCH(ROW(XDH270),XDG$2:XDG$1048576,0),1),"")</f>
        <v/>
      </c>
    </row>
    <row r="272" spans="1:1 16335:16337" x14ac:dyDescent="0.25">
      <c r="A272" s="5">
        <f ca="1">IF(ISNUMBER(SEARCH(INDIRECT(CELL("address")),Platforma_metis)),MAX(A$1:$A271)+1,0)</f>
        <v>0</v>
      </c>
      <c r="XDG272" s="6" t="str">
        <f ca="1">IF(XDH272=0,"",COUNTIF(A$1:$A272,"&gt;0"))</f>
        <v/>
      </c>
      <c r="XDH272" s="6">
        <f ca="1">IFERROR(SEARCH(INDIRECT(CELL("address")),B:B),0)</f>
        <v>0</v>
      </c>
      <c r="XDI272" s="6" t="str">
        <f ca="1">IFERROR(INDEX(Table_Projects_17[],MATCH(ROW(XDH271),XDG$2:XDG$1048576,0),1),"")</f>
        <v/>
      </c>
    </row>
    <row r="273" spans="1:1 16335:16337" x14ac:dyDescent="0.25">
      <c r="A273" s="5">
        <f ca="1">IF(ISNUMBER(SEARCH(INDIRECT(CELL("address")),Platforma_metis)),MAX(A$1:$A272)+1,0)</f>
        <v>0</v>
      </c>
      <c r="XDG273" s="6" t="str">
        <f ca="1">IF(XDH273=0,"",COUNTIF(A$1:$A273,"&gt;0"))</f>
        <v/>
      </c>
      <c r="XDH273" s="6">
        <f ca="1">IFERROR(SEARCH(INDIRECT(CELL("address")),B:B),0)</f>
        <v>0</v>
      </c>
      <c r="XDI273" s="6" t="str">
        <f ca="1">IFERROR(INDEX(Table_Projects_17[],MATCH(ROW(XDH272),XDG$2:XDG$1048576,0),1),"")</f>
        <v/>
      </c>
    </row>
    <row r="274" spans="1:1 16335:16337" x14ac:dyDescent="0.25">
      <c r="A274" s="5">
        <f ca="1">IF(ISNUMBER(SEARCH(INDIRECT(CELL("address")),Platforma_metis)),MAX(A$1:$A273)+1,0)</f>
        <v>0</v>
      </c>
      <c r="XDG274" s="6" t="str">
        <f ca="1">IF(XDH274=0,"",COUNTIF(A$1:$A274,"&gt;0"))</f>
        <v/>
      </c>
      <c r="XDH274" s="6">
        <f ca="1">IFERROR(SEARCH(INDIRECT(CELL("address")),B:B),0)</f>
        <v>0</v>
      </c>
      <c r="XDI274" s="6" t="str">
        <f ca="1">IFERROR(INDEX(Table_Projects_17[],MATCH(ROW(XDH273),XDG$2:XDG$1048576,0),1),"")</f>
        <v/>
      </c>
    </row>
    <row r="275" spans="1:1 16335:16337" x14ac:dyDescent="0.25">
      <c r="A275" s="5">
        <f ca="1">IF(ISNUMBER(SEARCH(INDIRECT(CELL("address")),Platforma_metis)),MAX(A$1:$A274)+1,0)</f>
        <v>0</v>
      </c>
      <c r="XDG275" s="6" t="str">
        <f ca="1">IF(XDH275=0,"",COUNTIF(A$1:$A275,"&gt;0"))</f>
        <v/>
      </c>
      <c r="XDH275" s="6">
        <f ca="1">IFERROR(SEARCH(INDIRECT(CELL("address")),B:B),0)</f>
        <v>0</v>
      </c>
      <c r="XDI275" s="6" t="str">
        <f ca="1">IFERROR(INDEX(Table_Projects_17[],MATCH(ROW(XDH274),XDG$2:XDG$1048576,0),1),"")</f>
        <v/>
      </c>
    </row>
    <row r="276" spans="1:1 16335:16337" x14ac:dyDescent="0.25">
      <c r="A276" s="5">
        <f ca="1">IF(ISNUMBER(SEARCH(INDIRECT(CELL("address")),Platforma_metis)),MAX(A$1:$A275)+1,0)</f>
        <v>0</v>
      </c>
      <c r="XDG276" s="6" t="str">
        <f ca="1">IF(XDH276=0,"",COUNTIF(A$1:$A276,"&gt;0"))</f>
        <v/>
      </c>
      <c r="XDH276" s="6">
        <f ca="1">IFERROR(SEARCH(INDIRECT(CELL("address")),B:B),0)</f>
        <v>0</v>
      </c>
      <c r="XDI276" s="6" t="str">
        <f ca="1">IFERROR(INDEX(Table_Projects_17[],MATCH(ROW(XDH275),XDG$2:XDG$1048576,0),1),"")</f>
        <v/>
      </c>
    </row>
    <row r="277" spans="1:1 16335:16337" x14ac:dyDescent="0.25">
      <c r="A277" s="5">
        <f ca="1">IF(ISNUMBER(SEARCH(INDIRECT(CELL("address")),Platforma_metis)),MAX(A$1:$A276)+1,0)</f>
        <v>0</v>
      </c>
      <c r="XDG277" s="6" t="str">
        <f ca="1">IF(XDH277=0,"",COUNTIF(A$1:$A277,"&gt;0"))</f>
        <v/>
      </c>
      <c r="XDH277" s="6">
        <f ca="1">IFERROR(SEARCH(INDIRECT(CELL("address")),B:B),0)</f>
        <v>0</v>
      </c>
      <c r="XDI277" s="6" t="str">
        <f ca="1">IFERROR(INDEX(Table_Projects_17[],MATCH(ROW(XDH276),XDG$2:XDG$1048576,0),1),"")</f>
        <v/>
      </c>
    </row>
    <row r="278" spans="1:1 16335:16337" x14ac:dyDescent="0.25">
      <c r="A278" s="5">
        <f ca="1">IF(ISNUMBER(SEARCH(INDIRECT(CELL("address")),Platforma_metis)),MAX(A$1:$A277)+1,0)</f>
        <v>0</v>
      </c>
      <c r="XDG278" s="6" t="str">
        <f ca="1">IF(XDH278=0,"",COUNTIF(A$1:$A278,"&gt;0"))</f>
        <v/>
      </c>
      <c r="XDH278" s="6">
        <f ca="1">IFERROR(SEARCH(INDIRECT(CELL("address")),B:B),0)</f>
        <v>0</v>
      </c>
      <c r="XDI278" s="6" t="str">
        <f ca="1">IFERROR(INDEX(Table_Projects_17[],MATCH(ROW(XDH277),XDG$2:XDG$1048576,0),1),"")</f>
        <v/>
      </c>
    </row>
    <row r="279" spans="1:1 16335:16337" x14ac:dyDescent="0.25">
      <c r="A279" s="5">
        <f ca="1">IF(ISNUMBER(SEARCH(INDIRECT(CELL("address")),Platforma_metis)),MAX(A$1:$A278)+1,0)</f>
        <v>0</v>
      </c>
      <c r="XDG279" s="6" t="str">
        <f ca="1">IF(XDH279=0,"",COUNTIF(A$1:$A279,"&gt;0"))</f>
        <v/>
      </c>
      <c r="XDH279" s="6">
        <f ca="1">IFERROR(SEARCH(INDIRECT(CELL("address")),B:B),0)</f>
        <v>0</v>
      </c>
      <c r="XDI279" s="6" t="str">
        <f ca="1">IFERROR(INDEX(Table_Projects_17[],MATCH(ROW(XDH278),XDG$2:XDG$1048576,0),1),"")</f>
        <v/>
      </c>
    </row>
    <row r="280" spans="1:1 16335:16337" x14ac:dyDescent="0.25">
      <c r="A280" s="5">
        <f ca="1">IF(ISNUMBER(SEARCH(INDIRECT(CELL("address")),Platforma_metis)),MAX(A$1:$A279)+1,0)</f>
        <v>0</v>
      </c>
      <c r="XDG280" s="6" t="str">
        <f ca="1">IF(XDH280=0,"",COUNTIF(A$1:$A280,"&gt;0"))</f>
        <v/>
      </c>
      <c r="XDH280" s="6">
        <f ca="1">IFERROR(SEARCH(INDIRECT(CELL("address")),B:B),0)</f>
        <v>0</v>
      </c>
      <c r="XDI280" s="6" t="str">
        <f ca="1">IFERROR(INDEX(Table_Projects_17[],MATCH(ROW(XDH279),XDG$2:XDG$1048576,0),1),"")</f>
        <v/>
      </c>
    </row>
    <row r="281" spans="1:1 16335:16337" x14ac:dyDescent="0.25">
      <c r="A281" s="5">
        <f ca="1">IF(ISNUMBER(SEARCH(INDIRECT(CELL("address")),Platforma_metis)),MAX(A$1:$A280)+1,0)</f>
        <v>0</v>
      </c>
      <c r="XDG281" s="6" t="str">
        <f ca="1">IF(XDH281=0,"",COUNTIF(A$1:$A281,"&gt;0"))</f>
        <v/>
      </c>
      <c r="XDH281" s="6">
        <f ca="1">IFERROR(SEARCH(INDIRECT(CELL("address")),B:B),0)</f>
        <v>0</v>
      </c>
      <c r="XDI281" s="6" t="str">
        <f ca="1">IFERROR(INDEX(Table_Projects_17[],MATCH(ROW(XDH280),XDG$2:XDG$1048576,0),1),"")</f>
        <v/>
      </c>
    </row>
    <row r="282" spans="1:1 16335:16337" x14ac:dyDescent="0.25">
      <c r="A282" s="5">
        <f ca="1">IF(ISNUMBER(SEARCH(INDIRECT(CELL("address")),Platforma_metis)),MAX(A$1:$A281)+1,0)</f>
        <v>0</v>
      </c>
      <c r="XDG282" s="6" t="str">
        <f ca="1">IF(XDH282=0,"",COUNTIF(A$1:$A282,"&gt;0"))</f>
        <v/>
      </c>
      <c r="XDH282" s="6">
        <f ca="1">IFERROR(SEARCH(INDIRECT(CELL("address")),B:B),0)</f>
        <v>0</v>
      </c>
      <c r="XDI282" s="6" t="str">
        <f ca="1">IFERROR(INDEX(Table_Projects_17[],MATCH(ROW(XDH281),XDG$2:XDG$1048576,0),1),"")</f>
        <v/>
      </c>
    </row>
    <row r="283" spans="1:1 16335:16337" x14ac:dyDescent="0.25">
      <c r="A283" s="5">
        <f ca="1">IF(ISNUMBER(SEARCH(INDIRECT(CELL("address")),Platforma_metis)),MAX(A$1:$A282)+1,0)</f>
        <v>0</v>
      </c>
      <c r="XDG283" s="6" t="str">
        <f ca="1">IF(XDH283=0,"",COUNTIF(A$1:$A283,"&gt;0"))</f>
        <v/>
      </c>
      <c r="XDH283" s="6">
        <f ca="1">IFERROR(SEARCH(INDIRECT(CELL("address")),B:B),0)</f>
        <v>0</v>
      </c>
      <c r="XDI283" s="6" t="str">
        <f ca="1">IFERROR(INDEX(Table_Projects_17[],MATCH(ROW(XDH282),XDG$2:XDG$1048576,0),1),"")</f>
        <v/>
      </c>
    </row>
    <row r="284" spans="1:1 16335:16337" x14ac:dyDescent="0.25">
      <c r="A284" s="5">
        <f ca="1">IF(ISNUMBER(SEARCH(INDIRECT(CELL("address")),Platforma_metis)),MAX(A$1:$A283)+1,0)</f>
        <v>0</v>
      </c>
      <c r="XDG284" s="6" t="str">
        <f ca="1">IF(XDH284=0,"",COUNTIF(A$1:$A284,"&gt;0"))</f>
        <v/>
      </c>
      <c r="XDH284" s="6">
        <f ca="1">IFERROR(SEARCH(INDIRECT(CELL("address")),B:B),0)</f>
        <v>0</v>
      </c>
      <c r="XDI284" s="6" t="str">
        <f ca="1">IFERROR(INDEX(Table_Projects_17[],MATCH(ROW(XDH283),XDG$2:XDG$1048576,0),1),"")</f>
        <v/>
      </c>
    </row>
    <row r="285" spans="1:1 16335:16337" x14ac:dyDescent="0.25">
      <c r="A285" s="5">
        <f ca="1">IF(ISNUMBER(SEARCH(INDIRECT(CELL("address")),Platforma_metis)),MAX(A$1:$A284)+1,0)</f>
        <v>0</v>
      </c>
      <c r="XDG285" s="6" t="str">
        <f ca="1">IF(XDH285=0,"",COUNTIF(A$1:$A285,"&gt;0"))</f>
        <v/>
      </c>
      <c r="XDH285" s="6">
        <f ca="1">IFERROR(SEARCH(INDIRECT(CELL("address")),B:B),0)</f>
        <v>0</v>
      </c>
      <c r="XDI285" s="6" t="str">
        <f ca="1">IFERROR(INDEX(Table_Projects_17[],MATCH(ROW(XDH284),XDG$2:XDG$1048576,0),1),"")</f>
        <v/>
      </c>
    </row>
    <row r="286" spans="1:1 16335:16337" x14ac:dyDescent="0.25">
      <c r="A286" s="5">
        <f ca="1">IF(ISNUMBER(SEARCH(INDIRECT(CELL("address")),Platforma_metis)),MAX(A$1:$A285)+1,0)</f>
        <v>0</v>
      </c>
      <c r="XDG286" s="6" t="str">
        <f ca="1">IF(XDH286=0,"",COUNTIF(A$1:$A286,"&gt;0"))</f>
        <v/>
      </c>
      <c r="XDH286" s="6">
        <f ca="1">IFERROR(SEARCH(INDIRECT(CELL("address")),B:B),0)</f>
        <v>0</v>
      </c>
      <c r="XDI286" s="6" t="str">
        <f ca="1">IFERROR(INDEX(Table_Projects_17[],MATCH(ROW(XDH285),XDG$2:XDG$1048576,0),1),"")</f>
        <v/>
      </c>
    </row>
    <row r="287" spans="1:1 16335:16337" x14ac:dyDescent="0.25">
      <c r="A287" s="5">
        <f ca="1">IF(ISNUMBER(SEARCH(INDIRECT(CELL("address")),Platforma_metis)),MAX(A$1:$A286)+1,0)</f>
        <v>0</v>
      </c>
      <c r="XDG287" s="6" t="str">
        <f ca="1">IF(XDH287=0,"",COUNTIF(A$1:$A287,"&gt;0"))</f>
        <v/>
      </c>
      <c r="XDH287" s="6">
        <f ca="1">IFERROR(SEARCH(INDIRECT(CELL("address")),B:B),0)</f>
        <v>0</v>
      </c>
      <c r="XDI287" s="6" t="str">
        <f ca="1">IFERROR(INDEX(Table_Projects_17[],MATCH(ROW(XDH286),XDG$2:XDG$1048576,0),1),"")</f>
        <v/>
      </c>
    </row>
    <row r="288" spans="1:1 16335:16337" x14ac:dyDescent="0.25">
      <c r="A288" s="5">
        <f ca="1">IF(ISNUMBER(SEARCH(INDIRECT(CELL("address")),Platforma_metis)),MAX(A$1:$A287)+1,0)</f>
        <v>0</v>
      </c>
      <c r="XDG288" s="6" t="str">
        <f ca="1">IF(XDH288=0,"",COUNTIF(A$1:$A288,"&gt;0"))</f>
        <v/>
      </c>
      <c r="XDH288" s="6">
        <f ca="1">IFERROR(SEARCH(INDIRECT(CELL("address")),B:B),0)</f>
        <v>0</v>
      </c>
      <c r="XDI288" s="6" t="str">
        <f ca="1">IFERROR(INDEX(Table_Projects_17[],MATCH(ROW(XDH287),XDG$2:XDG$1048576,0),1),"")</f>
        <v/>
      </c>
    </row>
    <row r="289" spans="1:1 16335:16337" x14ac:dyDescent="0.25">
      <c r="A289" s="5">
        <f ca="1">IF(ISNUMBER(SEARCH(INDIRECT(CELL("address")),Platforma_metis)),MAX(A$1:$A288)+1,0)</f>
        <v>0</v>
      </c>
      <c r="XDG289" s="6" t="str">
        <f ca="1">IF(XDH289=0,"",COUNTIF(A$1:$A289,"&gt;0"))</f>
        <v/>
      </c>
      <c r="XDH289" s="6">
        <f ca="1">IFERROR(SEARCH(INDIRECT(CELL("address")),B:B),0)</f>
        <v>0</v>
      </c>
      <c r="XDI289" s="6" t="str">
        <f ca="1">IFERROR(INDEX(Table_Projects_17[],MATCH(ROW(XDH288),XDG$2:XDG$1048576,0),1),"")</f>
        <v/>
      </c>
    </row>
    <row r="290" spans="1:1 16335:16337" x14ac:dyDescent="0.25">
      <c r="A290" s="5">
        <f ca="1">IF(ISNUMBER(SEARCH(INDIRECT(CELL("address")),Platforma_metis)),MAX(A$1:$A289)+1,0)</f>
        <v>0</v>
      </c>
      <c r="XDG290" s="6" t="str">
        <f ca="1">IF(XDH290=0,"",COUNTIF(A$1:$A290,"&gt;0"))</f>
        <v/>
      </c>
      <c r="XDH290" s="6">
        <f ca="1">IFERROR(SEARCH(INDIRECT(CELL("address")),B:B),0)</f>
        <v>0</v>
      </c>
      <c r="XDI290" s="6" t="str">
        <f ca="1">IFERROR(INDEX(Table_Projects_17[],MATCH(ROW(XDH289),XDG$2:XDG$1048576,0),1),"")</f>
        <v/>
      </c>
    </row>
    <row r="291" spans="1:1 16335:16337" x14ac:dyDescent="0.25">
      <c r="A291" s="5">
        <f ca="1">IF(ISNUMBER(SEARCH(INDIRECT(CELL("address")),Platforma_metis)),MAX(A$1:$A290)+1,0)</f>
        <v>0</v>
      </c>
      <c r="XDG291" s="6" t="str">
        <f ca="1">IF(XDH291=0,"",COUNTIF(A$1:$A291,"&gt;0"))</f>
        <v/>
      </c>
      <c r="XDH291" s="6">
        <f ca="1">IFERROR(SEARCH(INDIRECT(CELL("address")),B:B),0)</f>
        <v>0</v>
      </c>
      <c r="XDI291" s="6" t="str">
        <f ca="1">IFERROR(INDEX(Table_Projects_17[],MATCH(ROW(XDH290),XDG$2:XDG$1048576,0),1),"")</f>
        <v/>
      </c>
    </row>
    <row r="292" spans="1:1 16335:16337" x14ac:dyDescent="0.25">
      <c r="A292" s="5">
        <f ca="1">IF(ISNUMBER(SEARCH(INDIRECT(CELL("address")),Platforma_metis)),MAX(A$1:$A291)+1,0)</f>
        <v>0</v>
      </c>
      <c r="XDG292" s="6" t="str">
        <f ca="1">IF(XDH292=0,"",COUNTIF(A$1:$A292,"&gt;0"))</f>
        <v/>
      </c>
      <c r="XDH292" s="6">
        <f ca="1">IFERROR(SEARCH(INDIRECT(CELL("address")),B:B),0)</f>
        <v>0</v>
      </c>
      <c r="XDI292" s="6" t="str">
        <f ca="1">IFERROR(INDEX(Table_Projects_17[],MATCH(ROW(XDH291),XDG$2:XDG$1048576,0),1),"")</f>
        <v/>
      </c>
    </row>
    <row r="293" spans="1:1 16335:16337" x14ac:dyDescent="0.25">
      <c r="A293" s="5">
        <f ca="1">IF(ISNUMBER(SEARCH(INDIRECT(CELL("address")),Platforma_metis)),MAX(A$1:$A292)+1,0)</f>
        <v>0</v>
      </c>
      <c r="XDG293" s="6" t="str">
        <f ca="1">IF(XDH293=0,"",COUNTIF(A$1:$A293,"&gt;0"))</f>
        <v/>
      </c>
      <c r="XDH293" s="6">
        <f ca="1">IFERROR(SEARCH(INDIRECT(CELL("address")),B:B),0)</f>
        <v>0</v>
      </c>
      <c r="XDI293" s="6" t="str">
        <f ca="1">IFERROR(INDEX(Table_Projects_17[],MATCH(ROW(XDH292),XDG$2:XDG$1048576,0),1),"")</f>
        <v/>
      </c>
    </row>
    <row r="294" spans="1:1 16335:16337" x14ac:dyDescent="0.25">
      <c r="A294" s="5">
        <f ca="1">IF(ISNUMBER(SEARCH(INDIRECT(CELL("address")),Platforma_metis)),MAX(A$1:$A293)+1,0)</f>
        <v>0</v>
      </c>
      <c r="XDG294" s="6" t="str">
        <f ca="1">IF(XDH294=0,"",COUNTIF(A$1:$A294,"&gt;0"))</f>
        <v/>
      </c>
      <c r="XDH294" s="6">
        <f ca="1">IFERROR(SEARCH(INDIRECT(CELL("address")),B:B),0)</f>
        <v>0</v>
      </c>
      <c r="XDI294" s="6" t="str">
        <f ca="1">IFERROR(INDEX(Table_Projects_17[],MATCH(ROW(XDH293),XDG$2:XDG$1048576,0),1),"")</f>
        <v/>
      </c>
    </row>
    <row r="295" spans="1:1 16335:16337" x14ac:dyDescent="0.25">
      <c r="A295" s="5">
        <f ca="1">IF(ISNUMBER(SEARCH(INDIRECT(CELL("address")),Platforma_metis)),MAX(A$1:$A294)+1,0)</f>
        <v>0</v>
      </c>
      <c r="XDG295" s="6" t="str">
        <f ca="1">IF(XDH295=0,"",COUNTIF(A$1:$A295,"&gt;0"))</f>
        <v/>
      </c>
      <c r="XDH295" s="6">
        <f ca="1">IFERROR(SEARCH(INDIRECT(CELL("address")),B:B),0)</f>
        <v>0</v>
      </c>
      <c r="XDI295" s="6" t="str">
        <f ca="1">IFERROR(INDEX(Table_Projects_17[],MATCH(ROW(XDH294),XDG$2:XDG$1048576,0),1),"")</f>
        <v/>
      </c>
    </row>
    <row r="296" spans="1:1 16335:16337" x14ac:dyDescent="0.25">
      <c r="A296" s="5">
        <f ca="1">IF(ISNUMBER(SEARCH(INDIRECT(CELL("address")),Platforma_metis)),MAX(A$1:$A295)+1,0)</f>
        <v>0</v>
      </c>
      <c r="XDG296" s="6" t="str">
        <f ca="1">IF(XDH296=0,"",COUNTIF(A$1:$A296,"&gt;0"))</f>
        <v/>
      </c>
      <c r="XDH296" s="6">
        <f ca="1">IFERROR(SEARCH(INDIRECT(CELL("address")),B:B),0)</f>
        <v>0</v>
      </c>
      <c r="XDI296" s="6" t="str">
        <f ca="1">IFERROR(INDEX(Table_Projects_17[],MATCH(ROW(XDH295),XDG$2:XDG$1048576,0),1),"")</f>
        <v/>
      </c>
    </row>
    <row r="297" spans="1:1 16335:16337" x14ac:dyDescent="0.25">
      <c r="A297" s="5">
        <f ca="1">IF(ISNUMBER(SEARCH(INDIRECT(CELL("address")),Platforma_metis)),MAX(A$1:$A296)+1,0)</f>
        <v>0</v>
      </c>
      <c r="XDG297" s="6" t="str">
        <f ca="1">IF(XDH297=0,"",COUNTIF(A$1:$A297,"&gt;0"))</f>
        <v/>
      </c>
      <c r="XDH297" s="6">
        <f ca="1">IFERROR(SEARCH(INDIRECT(CELL("address")),B:B),0)</f>
        <v>0</v>
      </c>
      <c r="XDI297" s="6" t="str">
        <f ca="1">IFERROR(INDEX(Table_Projects_17[],MATCH(ROW(XDH296),XDG$2:XDG$1048576,0),1),"")</f>
        <v/>
      </c>
    </row>
    <row r="298" spans="1:1 16335:16337" x14ac:dyDescent="0.25">
      <c r="A298" s="5">
        <f ca="1">IF(ISNUMBER(SEARCH(INDIRECT(CELL("address")),Platforma_metis)),MAX(A$1:$A297)+1,0)</f>
        <v>0</v>
      </c>
      <c r="XDG298" s="6" t="str">
        <f ca="1">IF(XDH298=0,"",COUNTIF(A$1:$A298,"&gt;0"))</f>
        <v/>
      </c>
      <c r="XDH298" s="6">
        <f ca="1">IFERROR(SEARCH(INDIRECT(CELL("address")),B:B),0)</f>
        <v>0</v>
      </c>
      <c r="XDI298" s="6" t="str">
        <f ca="1">IFERROR(INDEX(Table_Projects_17[],MATCH(ROW(XDH297),XDG$2:XDG$1048576,0),1),"")</f>
        <v/>
      </c>
    </row>
    <row r="299" spans="1:1 16335:16337" x14ac:dyDescent="0.25">
      <c r="A299" s="5">
        <f ca="1">IF(ISNUMBER(SEARCH(INDIRECT(CELL("address")),Platforma_metis)),MAX(A$1:$A298)+1,0)</f>
        <v>0</v>
      </c>
      <c r="XDG299" s="6" t="str">
        <f ca="1">IF(XDH299=0,"",COUNTIF(A$1:$A299,"&gt;0"))</f>
        <v/>
      </c>
      <c r="XDH299" s="6">
        <f ca="1">IFERROR(SEARCH(INDIRECT(CELL("address")),B:B),0)</f>
        <v>0</v>
      </c>
      <c r="XDI299" s="6" t="str">
        <f ca="1">IFERROR(INDEX(Table_Projects_17[],MATCH(ROW(XDH298),XDG$2:XDG$1048576,0),1),"")</f>
        <v/>
      </c>
    </row>
    <row r="300" spans="1:1 16335:16337" x14ac:dyDescent="0.25">
      <c r="A300" s="5">
        <f ca="1">IF(ISNUMBER(SEARCH(INDIRECT(CELL("address")),Platforma_metis)),MAX(A$1:$A299)+1,0)</f>
        <v>0</v>
      </c>
      <c r="XDG300" s="6" t="str">
        <f ca="1">IF(XDH300=0,"",COUNTIF(A$1:$A300,"&gt;0"))</f>
        <v/>
      </c>
      <c r="XDH300" s="6">
        <f ca="1">IFERROR(SEARCH(INDIRECT(CELL("address")),B:B),0)</f>
        <v>0</v>
      </c>
      <c r="XDI300" s="6" t="str">
        <f ca="1">IFERROR(INDEX(Table_Projects_17[],MATCH(ROW(XDH299),XDG$2:XDG$1048576,0),1),"")</f>
        <v/>
      </c>
    </row>
    <row r="301" spans="1:1 16335:16337" x14ac:dyDescent="0.25">
      <c r="A301" s="5">
        <f ca="1">IF(ISNUMBER(SEARCH(INDIRECT(CELL("address")),Platforma_metis)),MAX(A$1:$A300)+1,0)</f>
        <v>0</v>
      </c>
      <c r="XDG301" s="6" t="str">
        <f ca="1">IF(XDH301=0,"",COUNTIF(A$1:$A301,"&gt;0"))</f>
        <v/>
      </c>
      <c r="XDH301" s="6">
        <f ca="1">IFERROR(SEARCH(INDIRECT(CELL("address")),B:B),0)</f>
        <v>0</v>
      </c>
      <c r="XDI301" s="6" t="str">
        <f ca="1">IFERROR(INDEX(Table_Projects_17[],MATCH(ROW(XDH300),XDG$2:XDG$1048576,0),1),"")</f>
        <v/>
      </c>
    </row>
    <row r="302" spans="1:1 16335:16337" x14ac:dyDescent="0.25">
      <c r="A302" s="5">
        <f ca="1">IF(ISNUMBER(SEARCH(INDIRECT(CELL("address")),Platforma_metis)),MAX(A$1:$A301)+1,0)</f>
        <v>0</v>
      </c>
      <c r="XDG302" s="6" t="str">
        <f ca="1">IF(XDH302=0,"",COUNTIF(A$1:$A302,"&gt;0"))</f>
        <v/>
      </c>
      <c r="XDH302" s="6">
        <f ca="1">IFERROR(SEARCH(INDIRECT(CELL("address")),B:B),0)</f>
        <v>0</v>
      </c>
      <c r="XDI302" s="6" t="str">
        <f ca="1">IFERROR(INDEX(Table_Projects_17[],MATCH(ROW(XDH301),XDG$2:XDG$1048576,0),1),"")</f>
        <v/>
      </c>
    </row>
    <row r="303" spans="1:1 16335:16337" x14ac:dyDescent="0.25">
      <c r="A303" s="5">
        <f ca="1">IF(ISNUMBER(SEARCH(INDIRECT(CELL("address")),Platforma_metis)),MAX(A$1:$A302)+1,0)</f>
        <v>0</v>
      </c>
      <c r="XDG303" s="6" t="str">
        <f ca="1">IF(XDH303=0,"",COUNTIF(A$1:$A303,"&gt;0"))</f>
        <v/>
      </c>
      <c r="XDH303" s="6">
        <f ca="1">IFERROR(SEARCH(INDIRECT(CELL("address")),B:B),0)</f>
        <v>0</v>
      </c>
      <c r="XDI303" s="6" t="str">
        <f ca="1">IFERROR(INDEX(Table_Projects_17[],MATCH(ROW(XDH302),XDG$2:XDG$1048576,0),1),"")</f>
        <v/>
      </c>
    </row>
    <row r="304" spans="1:1 16335:16337" x14ac:dyDescent="0.25">
      <c r="A304" s="5">
        <f ca="1">IF(ISNUMBER(SEARCH(INDIRECT(CELL("address")),Platforma_metis)),MAX(A$1:$A303)+1,0)</f>
        <v>0</v>
      </c>
      <c r="XDG304" s="6" t="str">
        <f ca="1">IF(XDH304=0,"",COUNTIF(A$1:$A304,"&gt;0"))</f>
        <v/>
      </c>
      <c r="XDH304" s="6">
        <f ca="1">IFERROR(SEARCH(INDIRECT(CELL("address")),B:B),0)</f>
        <v>0</v>
      </c>
      <c r="XDI304" s="6" t="str">
        <f ca="1">IFERROR(INDEX(Table_Projects_17[],MATCH(ROW(XDH303),XDG$2:XDG$1048576,0),1),"")</f>
        <v/>
      </c>
    </row>
    <row r="305" spans="1:1 16335:16337" x14ac:dyDescent="0.25">
      <c r="A305" s="5">
        <f ca="1">IF(ISNUMBER(SEARCH(INDIRECT(CELL("address")),Platforma_metis)),MAX(A$1:$A304)+1,0)</f>
        <v>0</v>
      </c>
      <c r="XDG305" s="6" t="str">
        <f ca="1">IF(XDH305=0,"",COUNTIF(A$1:$A305,"&gt;0"))</f>
        <v/>
      </c>
      <c r="XDH305" s="6">
        <f ca="1">IFERROR(SEARCH(INDIRECT(CELL("address")),B:B),0)</f>
        <v>0</v>
      </c>
      <c r="XDI305" s="6" t="str">
        <f ca="1">IFERROR(INDEX(Table_Projects_17[],MATCH(ROW(XDH304),XDG$2:XDG$1048576,0),1),"")</f>
        <v/>
      </c>
    </row>
    <row r="306" spans="1:1 16335:16337" x14ac:dyDescent="0.25">
      <c r="A306" s="5">
        <f ca="1">IF(ISNUMBER(SEARCH(INDIRECT(CELL("address")),Platforma_metis)),MAX(A$1:$A305)+1,0)</f>
        <v>0</v>
      </c>
      <c r="XDG306" s="6" t="str">
        <f ca="1">IF(XDH306=0,"",COUNTIF(A$1:$A306,"&gt;0"))</f>
        <v/>
      </c>
      <c r="XDH306" s="6">
        <f ca="1">IFERROR(SEARCH(INDIRECT(CELL("address")),B:B),0)</f>
        <v>0</v>
      </c>
      <c r="XDI306" s="6" t="str">
        <f ca="1">IFERROR(INDEX(Table_Projects_17[],MATCH(ROW(XDH305),XDG$2:XDG$1048576,0),1),"")</f>
        <v/>
      </c>
    </row>
    <row r="307" spans="1:1 16335:16337" x14ac:dyDescent="0.25">
      <c r="A307" s="5">
        <f ca="1">IF(ISNUMBER(SEARCH(INDIRECT(CELL("address")),Platforma_metis)),MAX(A$1:$A306)+1,0)</f>
        <v>0</v>
      </c>
      <c r="XDG307" s="6" t="str">
        <f ca="1">IF(XDH307=0,"",COUNTIF(A$1:$A307,"&gt;0"))</f>
        <v/>
      </c>
      <c r="XDH307" s="6">
        <f ca="1">IFERROR(SEARCH(INDIRECT(CELL("address")),B:B),0)</f>
        <v>0</v>
      </c>
      <c r="XDI307" s="6" t="str">
        <f ca="1">IFERROR(INDEX(Table_Projects_17[],MATCH(ROW(XDH306),XDG$2:XDG$1048576,0),1),"")</f>
        <v/>
      </c>
    </row>
    <row r="308" spans="1:1 16335:16337" x14ac:dyDescent="0.25">
      <c r="A308" s="5">
        <f ca="1">IF(ISNUMBER(SEARCH(INDIRECT(CELL("address")),Platforma_metis)),MAX(A$1:$A307)+1,0)</f>
        <v>0</v>
      </c>
      <c r="XDG308" s="6" t="str">
        <f ca="1">IF(XDH308=0,"",COUNTIF(A$1:$A308,"&gt;0"))</f>
        <v/>
      </c>
      <c r="XDH308" s="6">
        <f ca="1">IFERROR(SEARCH(INDIRECT(CELL("address")),B:B),0)</f>
        <v>0</v>
      </c>
      <c r="XDI308" s="6" t="str">
        <f ca="1">IFERROR(INDEX(Table_Projects_17[],MATCH(ROW(XDH307),XDG$2:XDG$1048576,0),1),"")</f>
        <v/>
      </c>
    </row>
    <row r="309" spans="1:1 16335:16337" x14ac:dyDescent="0.25">
      <c r="A309" s="5">
        <f ca="1">IF(ISNUMBER(SEARCH(INDIRECT(CELL("address")),Platforma_metis)),MAX(A$1:$A308)+1,0)</f>
        <v>0</v>
      </c>
      <c r="XDG309" s="6" t="str">
        <f ca="1">IF(XDH309=0,"",COUNTIF(A$1:$A309,"&gt;0"))</f>
        <v/>
      </c>
      <c r="XDH309" s="6">
        <f ca="1">IFERROR(SEARCH(INDIRECT(CELL("address")),B:B),0)</f>
        <v>0</v>
      </c>
      <c r="XDI309" s="6" t="str">
        <f ca="1">IFERROR(INDEX(Table_Projects_17[],MATCH(ROW(XDH308),XDG$2:XDG$1048576,0),1),"")</f>
        <v/>
      </c>
    </row>
    <row r="310" spans="1:1 16335:16337" x14ac:dyDescent="0.25">
      <c r="A310" s="5">
        <f ca="1">IF(ISNUMBER(SEARCH(INDIRECT(CELL("address")),Platforma_metis)),MAX(A$1:$A309)+1,0)</f>
        <v>0</v>
      </c>
      <c r="XDG310" s="6" t="str">
        <f ca="1">IF(XDH310=0,"",COUNTIF(A$1:$A310,"&gt;0"))</f>
        <v/>
      </c>
      <c r="XDH310" s="6">
        <f ca="1">IFERROR(SEARCH(INDIRECT(CELL("address")),B:B),0)</f>
        <v>0</v>
      </c>
      <c r="XDI310" s="6" t="str">
        <f ca="1">IFERROR(INDEX(Table_Projects_17[],MATCH(ROW(XDH309),XDG$2:XDG$1048576,0),1),"")</f>
        <v/>
      </c>
    </row>
    <row r="311" spans="1:1 16335:16337" x14ac:dyDescent="0.25">
      <c r="A311" s="5">
        <f ca="1">IF(ISNUMBER(SEARCH(INDIRECT(CELL("address")),Platforma_metis)),MAX(A$1:$A310)+1,0)</f>
        <v>0</v>
      </c>
      <c r="XDG311" s="6" t="str">
        <f ca="1">IF(XDH311=0,"",COUNTIF(A$1:$A311,"&gt;0"))</f>
        <v/>
      </c>
      <c r="XDH311" s="6">
        <f ca="1">IFERROR(SEARCH(INDIRECT(CELL("address")),B:B),0)</f>
        <v>0</v>
      </c>
      <c r="XDI311" s="6" t="str">
        <f ca="1">IFERROR(INDEX(Table_Projects_17[],MATCH(ROW(XDH310),XDG$2:XDG$1048576,0),1),"")</f>
        <v/>
      </c>
    </row>
    <row r="312" spans="1:1 16335:16337" x14ac:dyDescent="0.25">
      <c r="A312" s="5">
        <f ca="1">IF(ISNUMBER(SEARCH(INDIRECT(CELL("address")),Platforma_metis)),MAX(A$1:$A311)+1,0)</f>
        <v>0</v>
      </c>
      <c r="XDG312" s="6" t="str">
        <f ca="1">IF(XDH312=0,"",COUNTIF(A$1:$A312,"&gt;0"))</f>
        <v/>
      </c>
      <c r="XDH312" s="6">
        <f ca="1">IFERROR(SEARCH(INDIRECT(CELL("address")),B:B),0)</f>
        <v>0</v>
      </c>
      <c r="XDI312" s="6" t="str">
        <f ca="1">IFERROR(INDEX(Table_Projects_17[],MATCH(ROW(XDH311),XDG$2:XDG$1048576,0),1),"")</f>
        <v/>
      </c>
    </row>
    <row r="313" spans="1:1 16335:16337" x14ac:dyDescent="0.25">
      <c r="A313" s="5">
        <f ca="1">IF(ISNUMBER(SEARCH(INDIRECT(CELL("address")),Platforma_metis)),MAX(A$1:$A312)+1,0)</f>
        <v>0</v>
      </c>
      <c r="XDG313" s="6" t="str">
        <f ca="1">IF(XDH313=0,"",COUNTIF(A$1:$A313,"&gt;0"))</f>
        <v/>
      </c>
      <c r="XDH313" s="6">
        <f ca="1">IFERROR(SEARCH(INDIRECT(CELL("address")),B:B),0)</f>
        <v>0</v>
      </c>
      <c r="XDI313" s="6" t="str">
        <f ca="1">IFERROR(INDEX(Table_Projects_17[],MATCH(ROW(XDH312),XDG$2:XDG$1048576,0),1),"")</f>
        <v/>
      </c>
    </row>
    <row r="314" spans="1:1 16335:16337" x14ac:dyDescent="0.25">
      <c r="A314" s="5">
        <f ca="1">IF(ISNUMBER(SEARCH(INDIRECT(CELL("address")),Platforma_metis)),MAX(A$1:$A313)+1,0)</f>
        <v>0</v>
      </c>
      <c r="XDG314" s="6" t="str">
        <f ca="1">IF(XDH314=0,"",COUNTIF(A$1:$A314,"&gt;0"))</f>
        <v/>
      </c>
      <c r="XDH314" s="6">
        <f ca="1">IFERROR(SEARCH(INDIRECT(CELL("address")),B:B),0)</f>
        <v>0</v>
      </c>
      <c r="XDI314" s="6" t="str">
        <f ca="1">IFERROR(INDEX(Table_Projects_17[],MATCH(ROW(XDH313),XDG$2:XDG$1048576,0),1),"")</f>
        <v/>
      </c>
    </row>
    <row r="315" spans="1:1 16335:16337" x14ac:dyDescent="0.25">
      <c r="A315" s="5">
        <f ca="1">IF(ISNUMBER(SEARCH(INDIRECT(CELL("address")),Platforma_metis)),MAX(A$1:$A314)+1,0)</f>
        <v>0</v>
      </c>
      <c r="XDG315" s="6" t="str">
        <f ca="1">IF(XDH315=0,"",COUNTIF(A$1:$A315,"&gt;0"))</f>
        <v/>
      </c>
      <c r="XDH315" s="6">
        <f ca="1">IFERROR(SEARCH(INDIRECT(CELL("address")),B:B),0)</f>
        <v>0</v>
      </c>
      <c r="XDI315" s="6" t="str">
        <f ca="1">IFERROR(INDEX(Table_Projects_17[],MATCH(ROW(XDH314),XDG$2:XDG$1048576,0),1),"")</f>
        <v/>
      </c>
    </row>
    <row r="316" spans="1:1 16335:16337" x14ac:dyDescent="0.25">
      <c r="A316" s="5">
        <f ca="1">IF(ISNUMBER(SEARCH(INDIRECT(CELL("address")),Platforma_metis)),MAX(A$1:$A315)+1,0)</f>
        <v>0</v>
      </c>
      <c r="XDG316" s="6" t="str">
        <f ca="1">IF(XDH316=0,"",COUNTIF(A$1:$A316,"&gt;0"))</f>
        <v/>
      </c>
      <c r="XDH316" s="6">
        <f ca="1">IFERROR(SEARCH(INDIRECT(CELL("address")),B:B),0)</f>
        <v>0</v>
      </c>
      <c r="XDI316" s="6" t="str">
        <f ca="1">IFERROR(INDEX(Table_Projects_17[],MATCH(ROW(XDH315),XDG$2:XDG$1048576,0),1),"")</f>
        <v/>
      </c>
    </row>
    <row r="317" spans="1:1 16335:16337" x14ac:dyDescent="0.25">
      <c r="A317" s="5">
        <f ca="1">IF(ISNUMBER(SEARCH(INDIRECT(CELL("address")),Platforma_metis)),MAX(A$1:$A316)+1,0)</f>
        <v>0</v>
      </c>
      <c r="XDG317" s="6" t="str">
        <f ca="1">IF(XDH317=0,"",COUNTIF(A$1:$A317,"&gt;0"))</f>
        <v/>
      </c>
      <c r="XDH317" s="6">
        <f ca="1">IFERROR(SEARCH(INDIRECT(CELL("address")),B:B),0)</f>
        <v>0</v>
      </c>
      <c r="XDI317" s="6" t="str">
        <f ca="1">IFERROR(INDEX(Table_Projects_17[],MATCH(ROW(XDH316),XDG$2:XDG$1048576,0),1),"")</f>
        <v/>
      </c>
    </row>
    <row r="318" spans="1:1 16335:16337" x14ac:dyDescent="0.25">
      <c r="A318" s="5">
        <f ca="1">IF(ISNUMBER(SEARCH(INDIRECT(CELL("address")),Platforma_metis)),MAX(A$1:$A317)+1,0)</f>
        <v>0</v>
      </c>
      <c r="XDG318" s="6" t="str">
        <f ca="1">IF(XDH318=0,"",COUNTIF(A$1:$A318,"&gt;0"))</f>
        <v/>
      </c>
      <c r="XDH318" s="6">
        <f ca="1">IFERROR(SEARCH(INDIRECT(CELL("address")),B:B),0)</f>
        <v>0</v>
      </c>
      <c r="XDI318" s="6" t="str">
        <f ca="1">IFERROR(INDEX(Table_Projects_17[],MATCH(ROW(XDH317),XDG$2:XDG$1048576,0),1),"")</f>
        <v/>
      </c>
    </row>
    <row r="319" spans="1:1 16335:16337" x14ac:dyDescent="0.25">
      <c r="A319" s="5">
        <f ca="1">IF(ISNUMBER(SEARCH(INDIRECT(CELL("address")),Platforma_metis)),MAX(A$1:$A318)+1,0)</f>
        <v>0</v>
      </c>
      <c r="XDG319" s="6" t="str">
        <f ca="1">IF(XDH319=0,"",COUNTIF(A$1:$A319,"&gt;0"))</f>
        <v/>
      </c>
      <c r="XDH319" s="6">
        <f ca="1">IFERROR(SEARCH(INDIRECT(CELL("address")),B:B),0)</f>
        <v>0</v>
      </c>
      <c r="XDI319" s="6" t="str">
        <f ca="1">IFERROR(INDEX(Table_Projects_17[],MATCH(ROW(XDH318),XDG$2:XDG$1048576,0),1),"")</f>
        <v/>
      </c>
    </row>
    <row r="320" spans="1:1 16335:16337" x14ac:dyDescent="0.25">
      <c r="A320" s="5">
        <f ca="1">IF(ISNUMBER(SEARCH(INDIRECT(CELL("address")),Platforma_metis)),MAX(A$1:$A319)+1,0)</f>
        <v>0</v>
      </c>
      <c r="XDG320" s="6" t="str">
        <f ca="1">IF(XDH320=0,"",COUNTIF(A$1:$A320,"&gt;0"))</f>
        <v/>
      </c>
      <c r="XDH320" s="6">
        <f ca="1">IFERROR(SEARCH(INDIRECT(CELL("address")),B:B),0)</f>
        <v>0</v>
      </c>
      <c r="XDI320" s="6" t="str">
        <f ca="1">IFERROR(INDEX(Table_Projects_17[],MATCH(ROW(XDH319),XDG$2:XDG$1048576,0),1),"")</f>
        <v/>
      </c>
    </row>
    <row r="321" spans="1:1 16335:16337" x14ac:dyDescent="0.25">
      <c r="A321" s="5">
        <f ca="1">IF(ISNUMBER(SEARCH(INDIRECT(CELL("address")),Platforma_metis)),MAX(A$1:$A320)+1,0)</f>
        <v>0</v>
      </c>
      <c r="XDG321" s="6" t="str">
        <f ca="1">IF(XDH321=0,"",COUNTIF(A$1:$A321,"&gt;0"))</f>
        <v/>
      </c>
      <c r="XDH321" s="6">
        <f ca="1">IFERROR(SEARCH(INDIRECT(CELL("address")),B:B),0)</f>
        <v>0</v>
      </c>
      <c r="XDI321" s="6" t="str">
        <f ca="1">IFERROR(INDEX(Table_Projects_17[],MATCH(ROW(XDH320),XDG$2:XDG$1048576,0),1),"")</f>
        <v/>
      </c>
    </row>
    <row r="322" spans="1:1 16335:16337" x14ac:dyDescent="0.25">
      <c r="A322" s="5">
        <f ca="1">IF(ISNUMBER(SEARCH(INDIRECT(CELL("address")),Platforma_metis)),MAX(A$1:$A321)+1,0)</f>
        <v>0</v>
      </c>
      <c r="XDG322" s="6" t="str">
        <f ca="1">IF(XDH322=0,"",COUNTIF(A$1:$A322,"&gt;0"))</f>
        <v/>
      </c>
      <c r="XDH322" s="6">
        <f ca="1">IFERROR(SEARCH(INDIRECT(CELL("address")),B:B),0)</f>
        <v>0</v>
      </c>
      <c r="XDI322" s="6" t="str">
        <f ca="1">IFERROR(INDEX(Table_Projects_17[],MATCH(ROW(XDH321),XDG$2:XDG$1048576,0),1),"")</f>
        <v/>
      </c>
    </row>
    <row r="323" spans="1:1 16335:16337" x14ac:dyDescent="0.25">
      <c r="A323" s="5">
        <f ca="1">IF(ISNUMBER(SEARCH(INDIRECT(CELL("address")),Platforma_metis)),MAX(A$1:$A322)+1,0)</f>
        <v>0</v>
      </c>
      <c r="XDG323" s="6" t="str">
        <f ca="1">IF(XDH323=0,"",COUNTIF(A$1:$A323,"&gt;0"))</f>
        <v/>
      </c>
      <c r="XDH323" s="6">
        <f ca="1">IFERROR(SEARCH(INDIRECT(CELL("address")),B:B),0)</f>
        <v>0</v>
      </c>
      <c r="XDI323" s="6" t="str">
        <f ca="1">IFERROR(INDEX(Table_Projects_17[],MATCH(ROW(XDH322),XDG$2:XDG$1048576,0),1),"")</f>
        <v/>
      </c>
    </row>
    <row r="324" spans="1:1 16335:16337" x14ac:dyDescent="0.25">
      <c r="A324" s="5">
        <f ca="1">IF(ISNUMBER(SEARCH(INDIRECT(CELL("address")),Platforma_metis)),MAX(A$1:$A323)+1,0)</f>
        <v>0</v>
      </c>
      <c r="XDG324" s="6" t="str">
        <f ca="1">IF(XDH324=0,"",COUNTIF(A$1:$A324,"&gt;0"))</f>
        <v/>
      </c>
      <c r="XDH324" s="6">
        <f ca="1">IFERROR(SEARCH(INDIRECT(CELL("address")),B:B),0)</f>
        <v>0</v>
      </c>
      <c r="XDI324" s="6" t="str">
        <f ca="1">IFERROR(INDEX(Table_Projects_17[],MATCH(ROW(XDH323),XDG$2:XDG$1048576,0),1),"")</f>
        <v/>
      </c>
    </row>
    <row r="325" spans="1:1 16335:16337" x14ac:dyDescent="0.25">
      <c r="A325" s="5">
        <f ca="1">IF(ISNUMBER(SEARCH(INDIRECT(CELL("address")),Platforma_metis)),MAX(A$1:$A324)+1,0)</f>
        <v>0</v>
      </c>
      <c r="XDG325" s="6" t="str">
        <f ca="1">IF(XDH325=0,"",COUNTIF(A$1:$A325,"&gt;0"))</f>
        <v/>
      </c>
      <c r="XDH325" s="6">
        <f ca="1">IFERROR(SEARCH(INDIRECT(CELL("address")),B:B),0)</f>
        <v>0</v>
      </c>
      <c r="XDI325" s="6" t="str">
        <f ca="1">IFERROR(INDEX(Table_Projects_17[],MATCH(ROW(XDH324),XDG$2:XDG$1048576,0),1),"")</f>
        <v/>
      </c>
    </row>
    <row r="326" spans="1:1 16335:16337" x14ac:dyDescent="0.25">
      <c r="A326" s="5">
        <f ca="1">IF(ISNUMBER(SEARCH(INDIRECT(CELL("address")),Platforma_metis)),MAX(A$1:$A325)+1,0)</f>
        <v>0</v>
      </c>
      <c r="XDG326" s="6" t="str">
        <f ca="1">IF(XDH326=0,"",COUNTIF(A$1:$A326,"&gt;0"))</f>
        <v/>
      </c>
      <c r="XDH326" s="6">
        <f ca="1">IFERROR(SEARCH(INDIRECT(CELL("address")),B:B),0)</f>
        <v>0</v>
      </c>
      <c r="XDI326" s="6" t="str">
        <f ca="1">IFERROR(INDEX(Table_Projects_17[],MATCH(ROW(XDH325),XDG$2:XDG$1048576,0),1),"")</f>
        <v/>
      </c>
    </row>
    <row r="327" spans="1:1 16335:16337" x14ac:dyDescent="0.25">
      <c r="A327" s="5">
        <f ca="1">IF(ISNUMBER(SEARCH(INDIRECT(CELL("address")),Platforma_metis)),MAX(A$1:$A326)+1,0)</f>
        <v>0</v>
      </c>
      <c r="XDG327" s="6" t="str">
        <f ca="1">IF(XDH327=0,"",COUNTIF(A$1:$A327,"&gt;0"))</f>
        <v/>
      </c>
      <c r="XDH327" s="6">
        <f ca="1">IFERROR(SEARCH(INDIRECT(CELL("address")),B:B),0)</f>
        <v>0</v>
      </c>
      <c r="XDI327" s="6" t="str">
        <f ca="1">IFERROR(INDEX(Table_Projects_17[],MATCH(ROW(XDH326),XDG$2:XDG$1048576,0),1),"")</f>
        <v/>
      </c>
    </row>
    <row r="328" spans="1:1 16335:16337" x14ac:dyDescent="0.25">
      <c r="A328" s="5">
        <f ca="1">IF(ISNUMBER(SEARCH(INDIRECT(CELL("address")),Platforma_metis)),MAX(A$1:$A327)+1,0)</f>
        <v>0</v>
      </c>
      <c r="XDG328" s="6" t="str">
        <f ca="1">IF(XDH328=0,"",COUNTIF(A$1:$A328,"&gt;0"))</f>
        <v/>
      </c>
      <c r="XDH328" s="6">
        <f ca="1">IFERROR(SEARCH(INDIRECT(CELL("address")),B:B),0)</f>
        <v>0</v>
      </c>
      <c r="XDI328" s="6" t="str">
        <f ca="1">IFERROR(INDEX(Table_Projects_17[],MATCH(ROW(XDH327),XDG$2:XDG$1048576,0),1),"")</f>
        <v/>
      </c>
    </row>
    <row r="329" spans="1:1 16335:16337" x14ac:dyDescent="0.25">
      <c r="A329" s="5">
        <f ca="1">IF(ISNUMBER(SEARCH(INDIRECT(CELL("address")),Platforma_metis)),MAX(A$1:$A328)+1,0)</f>
        <v>0</v>
      </c>
      <c r="XDG329" s="6" t="str">
        <f ca="1">IF(XDH329=0,"",COUNTIF(A$1:$A329,"&gt;0"))</f>
        <v/>
      </c>
      <c r="XDH329" s="6">
        <f ca="1">IFERROR(SEARCH(INDIRECT(CELL("address")),B:B),0)</f>
        <v>0</v>
      </c>
      <c r="XDI329" s="6" t="str">
        <f ca="1">IFERROR(INDEX(Table_Projects_17[],MATCH(ROW(XDH328),XDG$2:XDG$1048576,0),1),"")</f>
        <v/>
      </c>
    </row>
    <row r="330" spans="1:1 16335:16337" x14ac:dyDescent="0.25">
      <c r="A330" s="5">
        <f ca="1">IF(ISNUMBER(SEARCH(INDIRECT(CELL("address")),Platforma_metis)),MAX(A$1:$A329)+1,0)</f>
        <v>0</v>
      </c>
      <c r="XDG330" s="6" t="str">
        <f ca="1">IF(XDH330=0,"",COUNTIF(A$1:$A330,"&gt;0"))</f>
        <v/>
      </c>
      <c r="XDH330" s="6">
        <f ca="1">IFERROR(SEARCH(INDIRECT(CELL("address")),B:B),0)</f>
        <v>0</v>
      </c>
      <c r="XDI330" s="6" t="str">
        <f ca="1">IFERROR(INDEX(Table_Projects_17[],MATCH(ROW(XDH329),XDG$2:XDG$1048576,0),1),"")</f>
        <v/>
      </c>
    </row>
    <row r="331" spans="1:1 16335:16337" x14ac:dyDescent="0.25">
      <c r="A331" s="5">
        <f ca="1">IF(ISNUMBER(SEARCH(INDIRECT(CELL("address")),Platforma_metis)),MAX(A$1:$A330)+1,0)</f>
        <v>0</v>
      </c>
      <c r="XDG331" s="6" t="str">
        <f ca="1">IF(XDH331=0,"",COUNTIF(A$1:$A331,"&gt;0"))</f>
        <v/>
      </c>
      <c r="XDH331" s="6">
        <f ca="1">IFERROR(SEARCH(INDIRECT(CELL("address")),B:B),0)</f>
        <v>0</v>
      </c>
      <c r="XDI331" s="6" t="str">
        <f ca="1">IFERROR(INDEX(Table_Projects_17[],MATCH(ROW(XDH330),XDG$2:XDG$1048576,0),1),"")</f>
        <v/>
      </c>
    </row>
    <row r="332" spans="1:1 16335:16337" x14ac:dyDescent="0.25">
      <c r="A332" s="5">
        <f ca="1">IF(ISNUMBER(SEARCH(INDIRECT(CELL("address")),Platforma_metis)),MAX(A$1:$A331)+1,0)</f>
        <v>0</v>
      </c>
      <c r="XDG332" s="6" t="str">
        <f ca="1">IF(XDH332=0,"",COUNTIF(A$1:$A332,"&gt;0"))</f>
        <v/>
      </c>
      <c r="XDH332" s="6">
        <f ca="1">IFERROR(SEARCH(INDIRECT(CELL("address")),B:B),0)</f>
        <v>0</v>
      </c>
      <c r="XDI332" s="6" t="str">
        <f ca="1">IFERROR(INDEX(Table_Projects_17[],MATCH(ROW(XDH331),XDG$2:XDG$1048576,0),1),"")</f>
        <v/>
      </c>
    </row>
    <row r="333" spans="1:1 16335:16337" x14ac:dyDescent="0.25">
      <c r="A333" s="5">
        <f ca="1">IF(ISNUMBER(SEARCH(INDIRECT(CELL("address")),Platforma_metis)),MAX(A$1:$A332)+1,0)</f>
        <v>0</v>
      </c>
      <c r="XDG333" s="6" t="str">
        <f ca="1">IF(XDH333=0,"",COUNTIF(A$1:$A333,"&gt;0"))</f>
        <v/>
      </c>
      <c r="XDH333" s="6">
        <f ca="1">IFERROR(SEARCH(INDIRECT(CELL("address")),B:B),0)</f>
        <v>0</v>
      </c>
      <c r="XDI333" s="6" t="str">
        <f ca="1">IFERROR(INDEX(Table_Projects_17[],MATCH(ROW(XDH332),XDG$2:XDG$1048576,0),1),"")</f>
        <v/>
      </c>
    </row>
    <row r="334" spans="1:1 16335:16337" x14ac:dyDescent="0.25">
      <c r="A334" s="5">
        <f ca="1">IF(ISNUMBER(SEARCH(INDIRECT(CELL("address")),Platforma_metis)),MAX(A$1:$A333)+1,0)</f>
        <v>0</v>
      </c>
      <c r="XDG334" s="6" t="str">
        <f ca="1">IF(XDH334=0,"",COUNTIF(A$1:$A334,"&gt;0"))</f>
        <v/>
      </c>
      <c r="XDH334" s="6">
        <f ca="1">IFERROR(SEARCH(INDIRECT(CELL("address")),B:B),0)</f>
        <v>0</v>
      </c>
      <c r="XDI334" s="6" t="str">
        <f ca="1">IFERROR(INDEX(Table_Projects_17[],MATCH(ROW(XDH333),XDG$2:XDG$1048576,0),1),"")</f>
        <v/>
      </c>
    </row>
    <row r="335" spans="1:1 16335:16337" x14ac:dyDescent="0.25">
      <c r="A335" s="5">
        <f ca="1">IF(ISNUMBER(SEARCH(INDIRECT(CELL("address")),Platforma_metis)),MAX(A$1:$A334)+1,0)</f>
        <v>0</v>
      </c>
      <c r="XDG335" s="6" t="str">
        <f ca="1">IF(XDH335=0,"",COUNTIF(A$1:$A335,"&gt;0"))</f>
        <v/>
      </c>
      <c r="XDH335" s="6">
        <f ca="1">IFERROR(SEARCH(INDIRECT(CELL("address")),B:B),0)</f>
        <v>0</v>
      </c>
      <c r="XDI335" s="6" t="str">
        <f ca="1">IFERROR(INDEX(Table_Projects_17[],MATCH(ROW(XDH334),XDG$2:XDG$1048576,0),1),"")</f>
        <v/>
      </c>
    </row>
    <row r="336" spans="1:1 16335:16337" x14ac:dyDescent="0.25">
      <c r="A336" s="5">
        <f ca="1">IF(ISNUMBER(SEARCH(INDIRECT(CELL("address")),Platforma_metis)),MAX(A$1:$A335)+1,0)</f>
        <v>0</v>
      </c>
      <c r="XDG336" s="6" t="str">
        <f ca="1">IF(XDH336=0,"",COUNTIF(A$1:$A336,"&gt;0"))</f>
        <v/>
      </c>
      <c r="XDH336" s="6">
        <f ca="1">IFERROR(SEARCH(INDIRECT(CELL("address")),B:B),0)</f>
        <v>0</v>
      </c>
      <c r="XDI336" s="6" t="str">
        <f ca="1">IFERROR(INDEX(Table_Projects_17[],MATCH(ROW(XDH335),XDG$2:XDG$1048576,0),1),"")</f>
        <v/>
      </c>
    </row>
    <row r="337" spans="1:1 16335:16337" x14ac:dyDescent="0.25">
      <c r="A337" s="5">
        <f ca="1">IF(ISNUMBER(SEARCH(INDIRECT(CELL("address")),Platforma_metis)),MAX(A$1:$A336)+1,0)</f>
        <v>0</v>
      </c>
      <c r="XDG337" s="6" t="str">
        <f ca="1">IF(XDH337=0,"",COUNTIF(A$1:$A337,"&gt;0"))</f>
        <v/>
      </c>
      <c r="XDH337" s="6">
        <f ca="1">IFERROR(SEARCH(INDIRECT(CELL("address")),B:B),0)</f>
        <v>0</v>
      </c>
      <c r="XDI337" s="6" t="str">
        <f ca="1">IFERROR(INDEX(Table_Projects_17[],MATCH(ROW(XDH336),XDG$2:XDG$1048576,0),1),"")</f>
        <v/>
      </c>
    </row>
    <row r="338" spans="1:1 16335:16337" x14ac:dyDescent="0.25">
      <c r="A338" s="5">
        <f ca="1">IF(ISNUMBER(SEARCH(INDIRECT(CELL("address")),Platforma_metis)),MAX(A$1:$A337)+1,0)</f>
        <v>0</v>
      </c>
      <c r="XDG338" s="6" t="str">
        <f ca="1">IF(XDH338=0,"",COUNTIF(A$1:$A338,"&gt;0"))</f>
        <v/>
      </c>
      <c r="XDH338" s="6">
        <f ca="1">IFERROR(SEARCH(INDIRECT(CELL("address")),B:B),0)</f>
        <v>0</v>
      </c>
      <c r="XDI338" s="6" t="str">
        <f ca="1">IFERROR(INDEX(Table_Projects_17[],MATCH(ROW(XDH337),XDG$2:XDG$1048576,0),1),"")</f>
        <v/>
      </c>
    </row>
    <row r="339" spans="1:1 16335:16337" x14ac:dyDescent="0.25">
      <c r="A339" s="5">
        <f ca="1">IF(ISNUMBER(SEARCH(INDIRECT(CELL("address")),Platforma_metis)),MAX(A$1:$A338)+1,0)</f>
        <v>0</v>
      </c>
      <c r="XDG339" s="6" t="str">
        <f ca="1">IF(XDH339=0,"",COUNTIF(A$1:$A339,"&gt;0"))</f>
        <v/>
      </c>
      <c r="XDH339" s="6">
        <f ca="1">IFERROR(SEARCH(INDIRECT(CELL("address")),B:B),0)</f>
        <v>0</v>
      </c>
      <c r="XDI339" s="6" t="str">
        <f ca="1">IFERROR(INDEX(Table_Projects_17[],MATCH(ROW(XDH338),XDG$2:XDG$1048576,0),1),"")</f>
        <v/>
      </c>
    </row>
    <row r="340" spans="1:1 16335:16337" x14ac:dyDescent="0.25">
      <c r="A340" s="5">
        <f ca="1">IF(ISNUMBER(SEARCH(INDIRECT(CELL("address")),Platforma_metis)),MAX(A$1:$A339)+1,0)</f>
        <v>0</v>
      </c>
      <c r="XDG340" s="6" t="str">
        <f ca="1">IF(XDH340=0,"",COUNTIF(A$1:$A340,"&gt;0"))</f>
        <v/>
      </c>
      <c r="XDH340" s="6">
        <f ca="1">IFERROR(SEARCH(INDIRECT(CELL("address")),B:B),0)</f>
        <v>0</v>
      </c>
      <c r="XDI340" s="6" t="str">
        <f ca="1">IFERROR(INDEX(Table_Projects_17[],MATCH(ROW(XDH339),XDG$2:XDG$1048576,0),1),"")</f>
        <v/>
      </c>
    </row>
    <row r="341" spans="1:1 16335:16337" x14ac:dyDescent="0.25">
      <c r="A341" s="5">
        <f ca="1">IF(ISNUMBER(SEARCH(INDIRECT(CELL("address")),Platforma_metis)),MAX(A$1:$A340)+1,0)</f>
        <v>0</v>
      </c>
      <c r="XDG341" s="6" t="str">
        <f ca="1">IF(XDH341=0,"",COUNTIF(A$1:$A341,"&gt;0"))</f>
        <v/>
      </c>
      <c r="XDH341" s="6">
        <f ca="1">IFERROR(SEARCH(INDIRECT(CELL("address")),B:B),0)</f>
        <v>0</v>
      </c>
      <c r="XDI341" s="6" t="str">
        <f ca="1">IFERROR(INDEX(Table_Projects_17[],MATCH(ROW(XDH340),XDG$2:XDG$1048576,0),1),"")</f>
        <v/>
      </c>
    </row>
    <row r="342" spans="1:1 16335:16337" x14ac:dyDescent="0.25">
      <c r="A342" s="5">
        <f ca="1">IF(ISNUMBER(SEARCH(INDIRECT(CELL("address")),Platforma_metis)),MAX(A$1:$A341)+1,0)</f>
        <v>0</v>
      </c>
      <c r="XDG342" s="6" t="str">
        <f ca="1">IF(XDH342=0,"",COUNTIF(A$1:$A342,"&gt;0"))</f>
        <v/>
      </c>
      <c r="XDH342" s="6">
        <f ca="1">IFERROR(SEARCH(INDIRECT(CELL("address")),B:B),0)</f>
        <v>0</v>
      </c>
      <c r="XDI342" s="6" t="str">
        <f ca="1">IFERROR(INDEX(Table_Projects_17[],MATCH(ROW(XDH341),XDG$2:XDG$1048576,0),1),"")</f>
        <v/>
      </c>
    </row>
    <row r="343" spans="1:1 16335:16337" x14ac:dyDescent="0.25">
      <c r="A343" s="5">
        <f ca="1">IF(ISNUMBER(SEARCH(INDIRECT(CELL("address")),Platforma_metis)),MAX(A$1:$A342)+1,0)</f>
        <v>0</v>
      </c>
      <c r="XDG343" s="6" t="str">
        <f ca="1">IF(XDH343=0,"",COUNTIF(A$1:$A343,"&gt;0"))</f>
        <v/>
      </c>
      <c r="XDH343" s="6">
        <f ca="1">IFERROR(SEARCH(INDIRECT(CELL("address")),B:B),0)</f>
        <v>0</v>
      </c>
      <c r="XDI343" s="6" t="str">
        <f ca="1">IFERROR(INDEX(Table_Projects_17[],MATCH(ROW(XDH342),XDG$2:XDG$1048576,0),1),"")</f>
        <v/>
      </c>
    </row>
    <row r="344" spans="1:1 16335:16337" x14ac:dyDescent="0.25">
      <c r="A344" s="5">
        <f ca="1">IF(ISNUMBER(SEARCH(INDIRECT(CELL("address")),Platforma_metis)),MAX(A$1:$A343)+1,0)</f>
        <v>0</v>
      </c>
      <c r="XDG344" s="6" t="str">
        <f ca="1">IF(XDH344=0,"",COUNTIF(A$1:$A344,"&gt;0"))</f>
        <v/>
      </c>
      <c r="XDH344" s="6">
        <f ca="1">IFERROR(SEARCH(INDIRECT(CELL("address")),B:B),0)</f>
        <v>0</v>
      </c>
      <c r="XDI344" s="6" t="str">
        <f ca="1">IFERROR(INDEX(Table_Projects_17[],MATCH(ROW(XDH343),XDG$2:XDG$1048576,0),1),"")</f>
        <v/>
      </c>
    </row>
    <row r="345" spans="1:1 16335:16337" x14ac:dyDescent="0.25">
      <c r="A345" s="5">
        <f ca="1">IF(ISNUMBER(SEARCH(INDIRECT(CELL("address")),Platforma_metis)),MAX(A$1:$A344)+1,0)</f>
        <v>0</v>
      </c>
      <c r="XDG345" s="6" t="str">
        <f ca="1">IF(XDH345=0,"",COUNTIF(A$1:$A345,"&gt;0"))</f>
        <v/>
      </c>
      <c r="XDH345" s="6">
        <f ca="1">IFERROR(SEARCH(INDIRECT(CELL("address")),B:B),0)</f>
        <v>0</v>
      </c>
      <c r="XDI345" s="6" t="str">
        <f ca="1">IFERROR(INDEX(Table_Projects_17[],MATCH(ROW(XDH344),XDG$2:XDG$1048576,0),1),"")</f>
        <v/>
      </c>
    </row>
    <row r="346" spans="1:1 16335:16337" x14ac:dyDescent="0.25">
      <c r="A346" s="5">
        <f ca="1">IF(ISNUMBER(SEARCH(INDIRECT(CELL("address")),Platforma_metis)),MAX(A$1:$A345)+1,0)</f>
        <v>0</v>
      </c>
      <c r="XDG346" s="6" t="str">
        <f ca="1">IF(XDH346=0,"",COUNTIF(A$1:$A346,"&gt;0"))</f>
        <v/>
      </c>
      <c r="XDH346" s="6">
        <f ca="1">IFERROR(SEARCH(INDIRECT(CELL("address")),B:B),0)</f>
        <v>0</v>
      </c>
      <c r="XDI346" s="6" t="str">
        <f ca="1">IFERROR(INDEX(Table_Projects_17[],MATCH(ROW(XDH345),XDG$2:XDG$1048576,0),1),"")</f>
        <v/>
      </c>
    </row>
    <row r="347" spans="1:1 16335:16337" x14ac:dyDescent="0.25">
      <c r="A347" s="5">
        <f ca="1">IF(ISNUMBER(SEARCH(INDIRECT(CELL("address")),Platforma_metis)),MAX(A$1:$A346)+1,0)</f>
        <v>0</v>
      </c>
      <c r="XDG347" s="6" t="str">
        <f ca="1">IF(XDH347=0,"",COUNTIF(A$1:$A347,"&gt;0"))</f>
        <v/>
      </c>
      <c r="XDH347" s="6">
        <f ca="1">IFERROR(SEARCH(INDIRECT(CELL("address")),B:B),0)</f>
        <v>0</v>
      </c>
      <c r="XDI347" s="6" t="str">
        <f ca="1">IFERROR(INDEX(Table_Projects_17[],MATCH(ROW(XDH346),XDG$2:XDG$1048576,0),1),"")</f>
        <v/>
      </c>
    </row>
    <row r="348" spans="1:1 16335:16337" x14ac:dyDescent="0.25">
      <c r="A348" s="5">
        <f ca="1">IF(ISNUMBER(SEARCH(INDIRECT(CELL("address")),Platforma_metis)),MAX(A$1:$A347)+1,0)</f>
        <v>0</v>
      </c>
      <c r="XDG348" s="6" t="str">
        <f ca="1">IF(XDH348=0,"",COUNTIF(A$1:$A348,"&gt;0"))</f>
        <v/>
      </c>
      <c r="XDH348" s="6">
        <f ca="1">IFERROR(SEARCH(INDIRECT(CELL("address")),B:B),0)</f>
        <v>0</v>
      </c>
      <c r="XDI348" s="6" t="str">
        <f ca="1">IFERROR(INDEX(Table_Projects_17[],MATCH(ROW(XDH347),XDG$2:XDG$1048576,0),1),"")</f>
        <v/>
      </c>
    </row>
    <row r="349" spans="1:1 16335:16337" x14ac:dyDescent="0.25">
      <c r="A349" s="5">
        <f ca="1">IF(ISNUMBER(SEARCH(INDIRECT(CELL("address")),Platforma_metis)),MAX(A$1:$A348)+1,0)</f>
        <v>0</v>
      </c>
      <c r="XDG349" s="6" t="str">
        <f ca="1">IF(XDH349=0,"",COUNTIF(A$1:$A349,"&gt;0"))</f>
        <v/>
      </c>
      <c r="XDH349" s="6">
        <f ca="1">IFERROR(SEARCH(INDIRECT(CELL("address")),B:B),0)</f>
        <v>0</v>
      </c>
      <c r="XDI349" s="6" t="str">
        <f ca="1">IFERROR(INDEX(Table_Projects_17[],MATCH(ROW(XDH348),XDG$2:XDG$1048576,0),1),"")</f>
        <v/>
      </c>
    </row>
    <row r="350" spans="1:1 16335:16337" x14ac:dyDescent="0.25">
      <c r="A350" s="5">
        <f ca="1">IF(ISNUMBER(SEARCH(INDIRECT(CELL("address")),Platforma_metis)),MAX(A$1:$A349)+1,0)</f>
        <v>0</v>
      </c>
      <c r="XDG350" s="6" t="str">
        <f ca="1">IF(XDH350=0,"",COUNTIF(A$1:$A350,"&gt;0"))</f>
        <v/>
      </c>
      <c r="XDH350" s="6">
        <f ca="1">IFERROR(SEARCH(INDIRECT(CELL("address")),B:B),0)</f>
        <v>0</v>
      </c>
      <c r="XDI350" s="6" t="str">
        <f ca="1">IFERROR(INDEX(Table_Projects_17[],MATCH(ROW(XDH349),XDG$2:XDG$1048576,0),1),"")</f>
        <v/>
      </c>
    </row>
    <row r="351" spans="1:1 16335:16337" x14ac:dyDescent="0.25">
      <c r="A351" s="5">
        <f ca="1">IF(ISNUMBER(SEARCH(INDIRECT(CELL("address")),Platforma_metis)),MAX(A$1:$A350)+1,0)</f>
        <v>0</v>
      </c>
      <c r="XDG351" s="6" t="str">
        <f ca="1">IF(XDH351=0,"",COUNTIF(A$1:$A351,"&gt;0"))</f>
        <v/>
      </c>
      <c r="XDH351" s="6">
        <f ca="1">IFERROR(SEARCH(INDIRECT(CELL("address")),B:B),0)</f>
        <v>0</v>
      </c>
      <c r="XDI351" s="6" t="str">
        <f ca="1">IFERROR(INDEX(Table_Projects_17[],MATCH(ROW(XDH350),XDG$2:XDG$1048576,0),1),"")</f>
        <v/>
      </c>
    </row>
    <row r="352" spans="1:1 16335:16337" x14ac:dyDescent="0.25">
      <c r="A352" s="5">
        <f ca="1">IF(ISNUMBER(SEARCH(INDIRECT(CELL("address")),Platforma_metis)),MAX(A$1:$A351)+1,0)</f>
        <v>0</v>
      </c>
      <c r="XDG352" s="6" t="str">
        <f ca="1">IF(XDH352=0,"",COUNTIF(A$1:$A352,"&gt;0"))</f>
        <v/>
      </c>
      <c r="XDH352" s="6">
        <f ca="1">IFERROR(SEARCH(INDIRECT(CELL("address")),B:B),0)</f>
        <v>0</v>
      </c>
      <c r="XDI352" s="6" t="str">
        <f ca="1">IFERROR(INDEX(Table_Projects_17[],MATCH(ROW(XDH351),XDG$2:XDG$1048576,0),1),"")</f>
        <v/>
      </c>
    </row>
    <row r="353" spans="1:1 16335:16337" x14ac:dyDescent="0.25">
      <c r="A353" s="5">
        <f ca="1">IF(ISNUMBER(SEARCH(INDIRECT(CELL("address")),Platforma_metis)),MAX(A$1:$A352)+1,0)</f>
        <v>0</v>
      </c>
      <c r="XDG353" s="6" t="str">
        <f ca="1">IF(XDH353=0,"",COUNTIF(A$1:$A353,"&gt;0"))</f>
        <v/>
      </c>
      <c r="XDH353" s="6">
        <f ca="1">IFERROR(SEARCH(INDIRECT(CELL("address")),B:B),0)</f>
        <v>0</v>
      </c>
      <c r="XDI353" s="6" t="str">
        <f ca="1">IFERROR(INDEX(Table_Projects_17[],MATCH(ROW(XDH352),XDG$2:XDG$1048576,0),1),"")</f>
        <v/>
      </c>
    </row>
    <row r="354" spans="1:1 16335:16337" x14ac:dyDescent="0.25">
      <c r="A354" s="5">
        <f ca="1">IF(ISNUMBER(SEARCH(INDIRECT(CELL("address")),Platforma_metis)),MAX(A$1:$A353)+1,0)</f>
        <v>0</v>
      </c>
      <c r="XDG354" s="6" t="str">
        <f ca="1">IF(XDH354=0,"",COUNTIF(A$1:$A354,"&gt;0"))</f>
        <v/>
      </c>
      <c r="XDH354" s="6">
        <f ca="1">IFERROR(SEARCH(INDIRECT(CELL("address")),B:B),0)</f>
        <v>0</v>
      </c>
      <c r="XDI354" s="6" t="str">
        <f ca="1">IFERROR(INDEX(Table_Projects_17[],MATCH(ROW(XDH353),XDG$2:XDG$1048576,0),1),"")</f>
        <v/>
      </c>
    </row>
    <row r="355" spans="1:1 16335:16337" x14ac:dyDescent="0.25">
      <c r="A355" s="5">
        <f ca="1">IF(ISNUMBER(SEARCH(INDIRECT(CELL("address")),Platforma_metis)),MAX(A$1:$A354)+1,0)</f>
        <v>0</v>
      </c>
      <c r="XDG355" s="6" t="str">
        <f ca="1">IF(XDH355=0,"",COUNTIF(A$1:$A355,"&gt;0"))</f>
        <v/>
      </c>
      <c r="XDH355" s="6">
        <f ca="1">IFERROR(SEARCH(INDIRECT(CELL("address")),B:B),0)</f>
        <v>0</v>
      </c>
      <c r="XDI355" s="6" t="str">
        <f ca="1">IFERROR(INDEX(Table_Projects_17[],MATCH(ROW(XDH354),XDG$2:XDG$1048576,0),1),"")</f>
        <v/>
      </c>
    </row>
    <row r="356" spans="1:1 16335:16337" x14ac:dyDescent="0.25">
      <c r="A356" s="5">
        <f ca="1">IF(ISNUMBER(SEARCH(INDIRECT(CELL("address")),Platforma_metis)),MAX(A$1:$A355)+1,0)</f>
        <v>0</v>
      </c>
      <c r="XDG356" s="6" t="str">
        <f ca="1">IF(XDH356=0,"",COUNTIF(A$1:$A356,"&gt;0"))</f>
        <v/>
      </c>
      <c r="XDH356" s="6">
        <f ca="1">IFERROR(SEARCH(INDIRECT(CELL("address")),B:B),0)</f>
        <v>0</v>
      </c>
      <c r="XDI356" s="6" t="str">
        <f ca="1">IFERROR(INDEX(Table_Projects_17[],MATCH(ROW(XDH355),XDG$2:XDG$1048576,0),1),"")</f>
        <v/>
      </c>
    </row>
    <row r="357" spans="1:1 16335:16337" x14ac:dyDescent="0.25">
      <c r="A357" s="5">
        <f ca="1">IF(ISNUMBER(SEARCH(INDIRECT(CELL("address")),Platforma_metis)),MAX(A$1:$A356)+1,0)</f>
        <v>0</v>
      </c>
      <c r="XDG357" s="6" t="str">
        <f ca="1">IF(XDH357=0,"",COUNTIF(A$1:$A357,"&gt;0"))</f>
        <v/>
      </c>
      <c r="XDH357" s="6">
        <f ca="1">IFERROR(SEARCH(INDIRECT(CELL("address")),B:B),0)</f>
        <v>0</v>
      </c>
      <c r="XDI357" s="6" t="str">
        <f ca="1">IFERROR(INDEX(Table_Projects_17[],MATCH(ROW(XDH356),XDG$2:XDG$1048576,0),1),"")</f>
        <v/>
      </c>
    </row>
    <row r="358" spans="1:1 16335:16337" x14ac:dyDescent="0.25">
      <c r="A358" s="5">
        <f ca="1">IF(ISNUMBER(SEARCH(INDIRECT(CELL("address")),Platforma_metis)),MAX(A$1:$A357)+1,0)</f>
        <v>0</v>
      </c>
      <c r="XDG358" s="6" t="str">
        <f ca="1">IF(XDH358=0,"",COUNTIF(A$1:$A358,"&gt;0"))</f>
        <v/>
      </c>
      <c r="XDH358" s="6">
        <f ca="1">IFERROR(SEARCH(INDIRECT(CELL("address")),B:B),0)</f>
        <v>0</v>
      </c>
      <c r="XDI358" s="6" t="str">
        <f ca="1">IFERROR(INDEX(Table_Projects_17[],MATCH(ROW(XDH357),XDG$2:XDG$1048576,0),1),"")</f>
        <v/>
      </c>
    </row>
    <row r="359" spans="1:1 16335:16337" x14ac:dyDescent="0.25">
      <c r="A359" s="5">
        <f ca="1">IF(ISNUMBER(SEARCH(INDIRECT(CELL("address")),Platforma_metis)),MAX(A$1:$A358)+1,0)</f>
        <v>0</v>
      </c>
      <c r="XDG359" s="6" t="str">
        <f ca="1">IF(XDH359=0,"",COUNTIF(A$1:$A359,"&gt;0"))</f>
        <v/>
      </c>
      <c r="XDH359" s="6">
        <f ca="1">IFERROR(SEARCH(INDIRECT(CELL("address")),B:B),0)</f>
        <v>0</v>
      </c>
      <c r="XDI359" s="6" t="str">
        <f ca="1">IFERROR(INDEX(Table_Projects_17[],MATCH(ROW(XDH358),XDG$2:XDG$1048576,0),1),"")</f>
        <v/>
      </c>
    </row>
    <row r="360" spans="1:1 16335:16337" x14ac:dyDescent="0.25">
      <c r="A360" s="5">
        <f ca="1">IF(ISNUMBER(SEARCH(INDIRECT(CELL("address")),Platforma_metis)),MAX(A$1:$A359)+1,0)</f>
        <v>0</v>
      </c>
      <c r="XDG360" s="6" t="str">
        <f ca="1">IF(XDH360=0,"",COUNTIF(A$1:$A360,"&gt;0"))</f>
        <v/>
      </c>
      <c r="XDH360" s="6">
        <f ca="1">IFERROR(SEARCH(INDIRECT(CELL("address")),B:B),0)</f>
        <v>0</v>
      </c>
      <c r="XDI360" s="6" t="str">
        <f ca="1">IFERROR(INDEX(Table_Projects_17[],MATCH(ROW(XDH359),XDG$2:XDG$1048576,0),1),"")</f>
        <v/>
      </c>
    </row>
    <row r="361" spans="1:1 16335:16337" x14ac:dyDescent="0.25">
      <c r="A361" s="5">
        <f ca="1">IF(ISNUMBER(SEARCH(INDIRECT(CELL("address")),Platforma_metis)),MAX(A$1:$A360)+1,0)</f>
        <v>0</v>
      </c>
      <c r="XDG361" s="6" t="str">
        <f ca="1">IF(XDH361=0,"",COUNTIF(A$1:$A361,"&gt;0"))</f>
        <v/>
      </c>
      <c r="XDH361" s="6">
        <f ca="1">IFERROR(SEARCH(INDIRECT(CELL("address")),B:B),0)</f>
        <v>0</v>
      </c>
      <c r="XDI361" s="6" t="str">
        <f ca="1">IFERROR(INDEX(Table_Projects_17[],MATCH(ROW(XDH360),XDG$2:XDG$1048576,0),1),"")</f>
        <v/>
      </c>
    </row>
    <row r="362" spans="1:1 16335:16337" x14ac:dyDescent="0.25">
      <c r="A362" s="5">
        <f ca="1">IF(ISNUMBER(SEARCH(INDIRECT(CELL("address")),Platforma_metis)),MAX(A$1:$A361)+1,0)</f>
        <v>0</v>
      </c>
      <c r="XDG362" s="6" t="str">
        <f ca="1">IF(XDH362=0,"",COUNTIF(A$1:$A362,"&gt;0"))</f>
        <v/>
      </c>
      <c r="XDH362" s="6">
        <f ca="1">IFERROR(SEARCH(INDIRECT(CELL("address")),B:B),0)</f>
        <v>0</v>
      </c>
      <c r="XDI362" s="6" t="str">
        <f ca="1">IFERROR(INDEX(Table_Projects_17[],MATCH(ROW(XDH361),XDG$2:XDG$1048576,0),1),"")</f>
        <v/>
      </c>
    </row>
    <row r="363" spans="1:1 16335:16337" x14ac:dyDescent="0.25">
      <c r="A363" s="5">
        <f ca="1">IF(ISNUMBER(SEARCH(INDIRECT(CELL("address")),Platforma_metis)),MAX(A$1:$A362)+1,0)</f>
        <v>0</v>
      </c>
      <c r="XDG363" s="6" t="str">
        <f ca="1">IF(XDH363=0,"",COUNTIF(A$1:$A363,"&gt;0"))</f>
        <v/>
      </c>
      <c r="XDH363" s="6">
        <f ca="1">IFERROR(SEARCH(INDIRECT(CELL("address")),B:B),0)</f>
        <v>0</v>
      </c>
      <c r="XDI363" s="6" t="str">
        <f ca="1">IFERROR(INDEX(Table_Projects_17[],MATCH(ROW(XDH362),XDG$2:XDG$1048576,0),1),"")</f>
        <v/>
      </c>
    </row>
    <row r="364" spans="1:1 16335:16337" x14ac:dyDescent="0.25">
      <c r="A364" s="5">
        <f ca="1">IF(ISNUMBER(SEARCH(INDIRECT(CELL("address")),Platforma_metis)),MAX(A$1:$A363)+1,0)</f>
        <v>0</v>
      </c>
      <c r="XDG364" s="6" t="str">
        <f ca="1">IF(XDH364=0,"",COUNTIF(A$1:$A364,"&gt;0"))</f>
        <v/>
      </c>
      <c r="XDH364" s="6">
        <f ca="1">IFERROR(SEARCH(INDIRECT(CELL("address")),B:B),0)</f>
        <v>0</v>
      </c>
      <c r="XDI364" s="6" t="str">
        <f ca="1">IFERROR(INDEX(Table_Projects_17[],MATCH(ROW(XDH363),XDG$2:XDG$1048576,0),1),"")</f>
        <v/>
      </c>
    </row>
    <row r="365" spans="1:1 16335:16337" x14ac:dyDescent="0.25">
      <c r="A365" s="5">
        <f ca="1">IF(ISNUMBER(SEARCH(INDIRECT(CELL("address")),Platforma_metis)),MAX(A$1:$A364)+1,0)</f>
        <v>0</v>
      </c>
      <c r="XDG365" s="6" t="str">
        <f ca="1">IF(XDH365=0,"",COUNTIF(A$1:$A365,"&gt;0"))</f>
        <v/>
      </c>
      <c r="XDH365" s="6">
        <f ca="1">IFERROR(SEARCH(INDIRECT(CELL("address")),B:B),0)</f>
        <v>0</v>
      </c>
      <c r="XDI365" s="6" t="str">
        <f ca="1">IFERROR(INDEX(Table_Projects_17[],MATCH(ROW(XDH364),XDG$2:XDG$1048576,0),1),"")</f>
        <v/>
      </c>
    </row>
    <row r="366" spans="1:1 16335:16337" x14ac:dyDescent="0.25">
      <c r="A366" s="5">
        <f ca="1">IF(ISNUMBER(SEARCH(INDIRECT(CELL("address")),Platforma_metis)),MAX(A$1:$A365)+1,0)</f>
        <v>0</v>
      </c>
      <c r="XDG366" s="6" t="str">
        <f ca="1">IF(XDH366=0,"",COUNTIF(A$1:$A366,"&gt;0"))</f>
        <v/>
      </c>
      <c r="XDH366" s="6">
        <f ca="1">IFERROR(SEARCH(INDIRECT(CELL("address")),B:B),0)</f>
        <v>0</v>
      </c>
      <c r="XDI366" s="6" t="str">
        <f ca="1">IFERROR(INDEX(Table_Projects_17[],MATCH(ROW(XDH365),XDG$2:XDG$1048576,0),1),"")</f>
        <v/>
      </c>
    </row>
    <row r="367" spans="1:1 16335:16337" x14ac:dyDescent="0.25">
      <c r="A367" s="5">
        <f ca="1">IF(ISNUMBER(SEARCH(INDIRECT(CELL("address")),Platforma_metis)),MAX(A$1:$A366)+1,0)</f>
        <v>0</v>
      </c>
      <c r="XDG367" s="6" t="str">
        <f ca="1">IF(XDH367=0,"",COUNTIF(A$1:$A367,"&gt;0"))</f>
        <v/>
      </c>
      <c r="XDH367" s="6">
        <f ca="1">IFERROR(SEARCH(INDIRECT(CELL("address")),B:B),0)</f>
        <v>0</v>
      </c>
      <c r="XDI367" s="6" t="str">
        <f ca="1">IFERROR(INDEX(Table_Projects_17[],MATCH(ROW(XDH366),XDG$2:XDG$1048576,0),1),"")</f>
        <v/>
      </c>
    </row>
    <row r="368" spans="1:1 16335:16337" x14ac:dyDescent="0.25">
      <c r="A368" s="5">
        <f ca="1">IF(ISNUMBER(SEARCH(INDIRECT(CELL("address")),Platforma_metis)),MAX(A$1:$A367)+1,0)</f>
        <v>0</v>
      </c>
      <c r="XDG368" s="6" t="str">
        <f ca="1">IF(XDH368=0,"",COUNTIF(A$1:$A368,"&gt;0"))</f>
        <v/>
      </c>
      <c r="XDH368" s="6">
        <f ca="1">IFERROR(SEARCH(INDIRECT(CELL("address")),B:B),0)</f>
        <v>0</v>
      </c>
      <c r="XDI368" s="6" t="str">
        <f ca="1">IFERROR(INDEX(Table_Projects_17[],MATCH(ROW(XDH367),XDG$2:XDG$1048576,0),1),"")</f>
        <v/>
      </c>
    </row>
    <row r="369" spans="1:1 16335:16337" x14ac:dyDescent="0.25">
      <c r="A369" s="5">
        <f ca="1">IF(ISNUMBER(SEARCH(INDIRECT(CELL("address")),Platforma_metis)),MAX(A$1:$A368)+1,0)</f>
        <v>0</v>
      </c>
      <c r="XDG369" s="6" t="str">
        <f ca="1">IF(XDH369=0,"",COUNTIF(A$1:$A369,"&gt;0"))</f>
        <v/>
      </c>
      <c r="XDH369" s="6">
        <f ca="1">IFERROR(SEARCH(INDIRECT(CELL("address")),B:B),0)</f>
        <v>0</v>
      </c>
      <c r="XDI369" s="6" t="str">
        <f ca="1">IFERROR(INDEX(Table_Projects_17[],MATCH(ROW(XDH368),XDG$2:XDG$1048576,0),1),"")</f>
        <v/>
      </c>
    </row>
    <row r="370" spans="1:1 16335:16337" x14ac:dyDescent="0.25">
      <c r="A370" s="5">
        <f ca="1">IF(ISNUMBER(SEARCH(INDIRECT(CELL("address")),Platforma_metis)),MAX(A$1:$A369)+1,0)</f>
        <v>0</v>
      </c>
      <c r="XDG370" s="6" t="str">
        <f ca="1">IF(XDH370=0,"",COUNTIF(A$1:$A370,"&gt;0"))</f>
        <v/>
      </c>
      <c r="XDH370" s="6">
        <f ca="1">IFERROR(SEARCH(INDIRECT(CELL("address")),B:B),0)</f>
        <v>0</v>
      </c>
      <c r="XDI370" s="6" t="str">
        <f ca="1">IFERROR(INDEX(Table_Projects_17[],MATCH(ROW(XDH369),XDG$2:XDG$1048576,0),1),"")</f>
        <v/>
      </c>
    </row>
    <row r="371" spans="1:1 16335:16337" x14ac:dyDescent="0.25">
      <c r="A371" s="5">
        <f ca="1">IF(ISNUMBER(SEARCH(INDIRECT(CELL("address")),Platforma_metis)),MAX(A$1:$A370)+1,0)</f>
        <v>0</v>
      </c>
      <c r="XDG371" s="6" t="str">
        <f ca="1">IF(XDH371=0,"",COUNTIF(A$1:$A371,"&gt;0"))</f>
        <v/>
      </c>
      <c r="XDH371" s="6">
        <f ca="1">IFERROR(SEARCH(INDIRECT(CELL("address")),B:B),0)</f>
        <v>0</v>
      </c>
      <c r="XDI371" s="6" t="str">
        <f ca="1">IFERROR(INDEX(Table_Projects_17[],MATCH(ROW(XDH370),XDG$2:XDG$1048576,0),1),"")</f>
        <v/>
      </c>
    </row>
    <row r="372" spans="1:1 16335:16337" x14ac:dyDescent="0.25">
      <c r="A372" s="5">
        <f ca="1">IF(ISNUMBER(SEARCH(INDIRECT(CELL("address")),Platforma_metis)),MAX(A$1:$A371)+1,0)</f>
        <v>0</v>
      </c>
      <c r="XDG372" s="6" t="str">
        <f ca="1">IF(XDH372=0,"",COUNTIF(A$1:$A372,"&gt;0"))</f>
        <v/>
      </c>
      <c r="XDH372" s="6">
        <f ca="1">IFERROR(SEARCH(INDIRECT(CELL("address")),B:B),0)</f>
        <v>0</v>
      </c>
      <c r="XDI372" s="6" t="str">
        <f ca="1">IFERROR(INDEX(Table_Projects_17[],MATCH(ROW(XDH371),XDG$2:XDG$1048576,0),1),"")</f>
        <v/>
      </c>
    </row>
    <row r="373" spans="1:1 16335:16337" x14ac:dyDescent="0.25">
      <c r="A373" s="5">
        <f ca="1">IF(ISNUMBER(SEARCH(INDIRECT(CELL("address")),Platforma_metis)),MAX(A$1:$A372)+1,0)</f>
        <v>0</v>
      </c>
      <c r="XDG373" s="6" t="str">
        <f ca="1">IF(XDH373=0,"",COUNTIF(A$1:$A373,"&gt;0"))</f>
        <v/>
      </c>
      <c r="XDH373" s="6">
        <f ca="1">IFERROR(SEARCH(INDIRECT(CELL("address")),B:B),0)</f>
        <v>0</v>
      </c>
      <c r="XDI373" s="6" t="str">
        <f ca="1">IFERROR(INDEX(Table_Projects_17[],MATCH(ROW(XDH372),XDG$2:XDG$1048576,0),1),"")</f>
        <v/>
      </c>
    </row>
    <row r="374" spans="1:1 16335:16337" x14ac:dyDescent="0.25">
      <c r="A374" s="5">
        <f ca="1">IF(ISNUMBER(SEARCH(INDIRECT(CELL("address")),Platforma_metis)),MAX(A$1:$A373)+1,0)</f>
        <v>0</v>
      </c>
      <c r="XDG374" s="6" t="str">
        <f ca="1">IF(XDH374=0,"",COUNTIF(A$1:$A374,"&gt;0"))</f>
        <v/>
      </c>
      <c r="XDH374" s="6">
        <f ca="1">IFERROR(SEARCH(INDIRECT(CELL("address")),B:B),0)</f>
        <v>0</v>
      </c>
      <c r="XDI374" s="6" t="str">
        <f ca="1">IFERROR(INDEX(Table_Projects_17[],MATCH(ROW(XDH373),XDG$2:XDG$1048576,0),1),"")</f>
        <v/>
      </c>
    </row>
    <row r="375" spans="1:1 16335:16337" x14ac:dyDescent="0.25">
      <c r="A375" s="5">
        <f ca="1">IF(ISNUMBER(SEARCH(INDIRECT(CELL("address")),Platforma_metis)),MAX(A$1:$A374)+1,0)</f>
        <v>0</v>
      </c>
      <c r="XDG375" s="6" t="str">
        <f ca="1">IF(XDH375=0,"",COUNTIF(A$1:$A375,"&gt;0"))</f>
        <v/>
      </c>
      <c r="XDH375" s="6">
        <f ca="1">IFERROR(SEARCH(INDIRECT(CELL("address")),B:B),0)</f>
        <v>0</v>
      </c>
      <c r="XDI375" s="6" t="str">
        <f ca="1">IFERROR(INDEX(Table_Projects_17[],MATCH(ROW(XDH374),XDG$2:XDG$1048576,0),1),"")</f>
        <v/>
      </c>
    </row>
    <row r="376" spans="1:1 16335:16337" x14ac:dyDescent="0.25">
      <c r="A376" s="5">
        <f ca="1">IF(ISNUMBER(SEARCH(INDIRECT(CELL("address")),Platforma_metis)),MAX(A$1:$A375)+1,0)</f>
        <v>0</v>
      </c>
      <c r="XDG376" s="6" t="str">
        <f ca="1">IF(XDH376=0,"",COUNTIF(A$1:$A376,"&gt;0"))</f>
        <v/>
      </c>
      <c r="XDH376" s="6">
        <f ca="1">IFERROR(SEARCH(INDIRECT(CELL("address")),B:B),0)</f>
        <v>0</v>
      </c>
      <c r="XDI376" s="6" t="str">
        <f ca="1">IFERROR(INDEX(Table_Projects_17[],MATCH(ROW(XDH375),XDG$2:XDG$1048576,0),1),"")</f>
        <v/>
      </c>
    </row>
    <row r="377" spans="1:1 16335:16337" x14ac:dyDescent="0.25">
      <c r="A377" s="5">
        <f ca="1">IF(ISNUMBER(SEARCH(INDIRECT(CELL("address")),Platforma_metis)),MAX(A$1:$A376)+1,0)</f>
        <v>0</v>
      </c>
      <c r="XDG377" s="6" t="str">
        <f ca="1">IF(XDH377=0,"",COUNTIF(A$1:$A377,"&gt;0"))</f>
        <v/>
      </c>
      <c r="XDH377" s="6">
        <f ca="1">IFERROR(SEARCH(INDIRECT(CELL("address")),B:B),0)</f>
        <v>0</v>
      </c>
      <c r="XDI377" s="6" t="str">
        <f ca="1">IFERROR(INDEX(Table_Projects_17[],MATCH(ROW(XDH376),XDG$2:XDG$1048576,0),1),"")</f>
        <v/>
      </c>
    </row>
    <row r="378" spans="1:1 16335:16337" x14ac:dyDescent="0.25">
      <c r="A378" s="5">
        <f ca="1">IF(ISNUMBER(SEARCH(INDIRECT(CELL("address")),Platforma_metis)),MAX(A$1:$A377)+1,0)</f>
        <v>0</v>
      </c>
      <c r="XDG378" s="6" t="str">
        <f ca="1">IF(XDH378=0,"",COUNTIF(A$1:$A378,"&gt;0"))</f>
        <v/>
      </c>
      <c r="XDH378" s="6">
        <f ca="1">IFERROR(SEARCH(INDIRECT(CELL("address")),B:B),0)</f>
        <v>0</v>
      </c>
      <c r="XDI378" s="6" t="str">
        <f ca="1">IFERROR(INDEX(Table_Projects_17[],MATCH(ROW(XDH377),XDG$2:XDG$1048576,0),1),"")</f>
        <v/>
      </c>
    </row>
    <row r="379" spans="1:1 16335:16337" x14ac:dyDescent="0.25">
      <c r="A379" s="5">
        <f ca="1">IF(ISNUMBER(SEARCH(INDIRECT(CELL("address")),Platforma_metis)),MAX(A$1:$A378)+1,0)</f>
        <v>0</v>
      </c>
      <c r="XDG379" s="6" t="str">
        <f ca="1">IF(XDH379=0,"",COUNTIF(A$1:$A379,"&gt;0"))</f>
        <v/>
      </c>
      <c r="XDH379" s="6">
        <f ca="1">IFERROR(SEARCH(INDIRECT(CELL("address")),B:B),0)</f>
        <v>0</v>
      </c>
      <c r="XDI379" s="6" t="str">
        <f ca="1">IFERROR(INDEX(Table_Projects_17[],MATCH(ROW(XDH378),XDG$2:XDG$1048576,0),1),"")</f>
        <v/>
      </c>
    </row>
    <row r="380" spans="1:1 16335:16337" x14ac:dyDescent="0.25">
      <c r="A380" s="5">
        <f ca="1">IF(ISNUMBER(SEARCH(INDIRECT(CELL("address")),Platforma_metis)),MAX(A$1:$A379)+1,0)</f>
        <v>0</v>
      </c>
      <c r="XDG380" s="6" t="str">
        <f ca="1">IF(XDH380=0,"",COUNTIF(A$1:$A380,"&gt;0"))</f>
        <v/>
      </c>
      <c r="XDH380" s="6">
        <f ca="1">IFERROR(SEARCH(INDIRECT(CELL("address")),B:B),0)</f>
        <v>0</v>
      </c>
      <c r="XDI380" s="6" t="str">
        <f ca="1">IFERROR(INDEX(Table_Projects_17[],MATCH(ROW(XDH379),XDG$2:XDG$1048576,0),1),"")</f>
        <v/>
      </c>
    </row>
    <row r="381" spans="1:1 16335:16337" x14ac:dyDescent="0.25">
      <c r="A381" s="5">
        <f ca="1">IF(ISNUMBER(SEARCH(INDIRECT(CELL("address")),Platforma_metis)),MAX(A$1:$A380)+1,0)</f>
        <v>0</v>
      </c>
      <c r="XDG381" s="6" t="str">
        <f ca="1">IF(XDH381=0,"",COUNTIF(A$1:$A381,"&gt;0"))</f>
        <v/>
      </c>
      <c r="XDH381" s="6">
        <f ca="1">IFERROR(SEARCH(INDIRECT(CELL("address")),B:B),0)</f>
        <v>0</v>
      </c>
      <c r="XDI381" s="6" t="str">
        <f ca="1">IFERROR(INDEX(Table_Projects_17[],MATCH(ROW(XDH380),XDG$2:XDG$1048576,0),1),"")</f>
        <v/>
      </c>
    </row>
    <row r="382" spans="1:1 16335:16337" x14ac:dyDescent="0.25">
      <c r="A382" s="5">
        <f ca="1">IF(ISNUMBER(SEARCH(INDIRECT(CELL("address")),Platforma_metis)),MAX(A$1:$A381)+1,0)</f>
        <v>0</v>
      </c>
      <c r="XDG382" s="6" t="str">
        <f ca="1">IF(XDH382=0,"",COUNTIF(A$1:$A382,"&gt;0"))</f>
        <v/>
      </c>
      <c r="XDH382" s="6">
        <f ca="1">IFERROR(SEARCH(INDIRECT(CELL("address")),B:B),0)</f>
        <v>0</v>
      </c>
      <c r="XDI382" s="6" t="str">
        <f ca="1">IFERROR(INDEX(Table_Projects_17[],MATCH(ROW(XDH381),XDG$2:XDG$1048576,0),1),"")</f>
        <v/>
      </c>
    </row>
    <row r="383" spans="1:1 16335:16337" x14ac:dyDescent="0.25">
      <c r="A383" s="5">
        <f ca="1">IF(ISNUMBER(SEARCH(INDIRECT(CELL("address")),Platforma_metis)),MAX(A$1:$A382)+1,0)</f>
        <v>0</v>
      </c>
      <c r="XDG383" s="6" t="str">
        <f ca="1">IF(XDH383=0,"",COUNTIF(A$1:$A383,"&gt;0"))</f>
        <v/>
      </c>
      <c r="XDH383" s="6">
        <f ca="1">IFERROR(SEARCH(INDIRECT(CELL("address")),B:B),0)</f>
        <v>0</v>
      </c>
      <c r="XDI383" s="6" t="str">
        <f ca="1">IFERROR(INDEX(Table_Projects_17[],MATCH(ROW(XDH382),XDG$2:XDG$1048576,0),1),"")</f>
        <v/>
      </c>
    </row>
    <row r="384" spans="1:1 16335:16337" x14ac:dyDescent="0.25">
      <c r="A384" s="5">
        <f ca="1">IF(ISNUMBER(SEARCH(INDIRECT(CELL("address")),Platforma_metis)),MAX(A$1:$A383)+1,0)</f>
        <v>0</v>
      </c>
      <c r="XDG384" s="6" t="str">
        <f ca="1">IF(XDH384=0,"",COUNTIF(A$1:$A384,"&gt;0"))</f>
        <v/>
      </c>
      <c r="XDH384" s="6">
        <f ca="1">IFERROR(SEARCH(INDIRECT(CELL("address")),B:B),0)</f>
        <v>0</v>
      </c>
      <c r="XDI384" s="6" t="str">
        <f ca="1">IFERROR(INDEX(Table_Projects_17[],MATCH(ROW(XDH383),XDG$2:XDG$1048576,0),1),"")</f>
        <v/>
      </c>
    </row>
    <row r="385" spans="1:1 16335:16337" x14ac:dyDescent="0.25">
      <c r="A385" s="5">
        <f ca="1">IF(ISNUMBER(SEARCH(INDIRECT(CELL("address")),Platforma_metis)),MAX(A$1:$A384)+1,0)</f>
        <v>0</v>
      </c>
      <c r="XDG385" s="6" t="str">
        <f ca="1">IF(XDH385=0,"",COUNTIF(A$1:$A385,"&gt;0"))</f>
        <v/>
      </c>
      <c r="XDH385" s="6">
        <f ca="1">IFERROR(SEARCH(INDIRECT(CELL("address")),B:B),0)</f>
        <v>0</v>
      </c>
      <c r="XDI385" s="6" t="str">
        <f ca="1">IFERROR(INDEX(Table_Projects_17[],MATCH(ROW(XDH384),XDG$2:XDG$1048576,0),1),"")</f>
        <v/>
      </c>
    </row>
    <row r="386" spans="1:1 16335:16337" x14ac:dyDescent="0.25">
      <c r="A386" s="5">
        <f ca="1">IF(ISNUMBER(SEARCH(INDIRECT(CELL("address")),Platforma_metis)),MAX(A$1:$A385)+1,0)</f>
        <v>0</v>
      </c>
      <c r="XDG386" s="6" t="str">
        <f ca="1">IF(XDH386=0,"",COUNTIF(A$1:$A386,"&gt;0"))</f>
        <v/>
      </c>
      <c r="XDH386" s="6">
        <f ca="1">IFERROR(SEARCH(INDIRECT(CELL("address")),B:B),0)</f>
        <v>0</v>
      </c>
      <c r="XDI386" s="6" t="str">
        <f ca="1">IFERROR(INDEX(Table_Projects_17[],MATCH(ROW(XDH385),XDG$2:XDG$1048576,0),1),"")</f>
        <v/>
      </c>
    </row>
    <row r="387" spans="1:1 16335:16337" x14ac:dyDescent="0.25">
      <c r="A387" s="5">
        <f ca="1">IF(ISNUMBER(SEARCH(INDIRECT(CELL("address")),Platforma_metis)),MAX(A$1:$A386)+1,0)</f>
        <v>0</v>
      </c>
      <c r="XDG387" s="6" t="str">
        <f ca="1">IF(XDH387=0,"",COUNTIF(A$1:$A387,"&gt;0"))</f>
        <v/>
      </c>
      <c r="XDH387" s="6">
        <f ca="1">IFERROR(SEARCH(INDIRECT(CELL("address")),B:B),0)</f>
        <v>0</v>
      </c>
      <c r="XDI387" s="6" t="str">
        <f ca="1">IFERROR(INDEX(Table_Projects_17[],MATCH(ROW(XDH386),XDG$2:XDG$1048576,0),1),"")</f>
        <v/>
      </c>
    </row>
    <row r="388" spans="1:1 16335:16337" x14ac:dyDescent="0.25">
      <c r="A388" s="5">
        <f ca="1">IF(ISNUMBER(SEARCH(INDIRECT(CELL("address")),Platforma_metis)),MAX(A$1:$A387)+1,0)</f>
        <v>0</v>
      </c>
      <c r="XDG388" s="6" t="str">
        <f ca="1">IF(XDH388=0,"",COUNTIF(A$1:$A388,"&gt;0"))</f>
        <v/>
      </c>
      <c r="XDH388" s="6">
        <f ca="1">IFERROR(SEARCH(INDIRECT(CELL("address")),B:B),0)</f>
        <v>0</v>
      </c>
      <c r="XDI388" s="6" t="str">
        <f ca="1">IFERROR(INDEX(Table_Projects_17[],MATCH(ROW(XDH387),XDG$2:XDG$1048576,0),1),"")</f>
        <v/>
      </c>
    </row>
    <row r="389" spans="1:1 16335:16337" x14ac:dyDescent="0.25">
      <c r="A389" s="5">
        <f ca="1">IF(ISNUMBER(SEARCH(INDIRECT(CELL("address")),Platforma_metis)),MAX(A$1:$A388)+1,0)</f>
        <v>0</v>
      </c>
      <c r="XDG389" s="6" t="str">
        <f ca="1">IF(XDH389=0,"",COUNTIF(A$1:$A389,"&gt;0"))</f>
        <v/>
      </c>
      <c r="XDH389" s="6">
        <f ca="1">IFERROR(SEARCH(INDIRECT(CELL("address")),B:B),0)</f>
        <v>0</v>
      </c>
      <c r="XDI389" s="6" t="str">
        <f ca="1">IFERROR(INDEX(Table_Projects_17[],MATCH(ROW(XDH388),XDG$2:XDG$1048576,0),1),"")</f>
        <v/>
      </c>
    </row>
    <row r="390" spans="1:1 16335:16337" x14ac:dyDescent="0.25">
      <c r="A390" s="5">
        <f ca="1">IF(ISNUMBER(SEARCH(INDIRECT(CELL("address")),Platforma_metis)),MAX(A$1:$A389)+1,0)</f>
        <v>0</v>
      </c>
      <c r="XDG390" s="6" t="str">
        <f ca="1">IF(XDH390=0,"",COUNTIF(A$1:$A390,"&gt;0"))</f>
        <v/>
      </c>
      <c r="XDH390" s="6">
        <f ca="1">IFERROR(SEARCH(INDIRECT(CELL("address")),B:B),0)</f>
        <v>0</v>
      </c>
      <c r="XDI390" s="6" t="str">
        <f ca="1">IFERROR(INDEX(Table_Projects_17[],MATCH(ROW(XDH389),XDG$2:XDG$1048576,0),1),"")</f>
        <v/>
      </c>
    </row>
    <row r="391" spans="1:1 16335:16337" x14ac:dyDescent="0.25">
      <c r="A391" s="5">
        <f ca="1">IF(ISNUMBER(SEARCH(INDIRECT(CELL("address")),Platforma_metis)),MAX(A$1:$A390)+1,0)</f>
        <v>0</v>
      </c>
      <c r="XDG391" s="6" t="str">
        <f ca="1">IF(XDH391=0,"",COUNTIF(A$1:$A391,"&gt;0"))</f>
        <v/>
      </c>
      <c r="XDH391" s="6">
        <f ca="1">IFERROR(SEARCH(INDIRECT(CELL("address")),B:B),0)</f>
        <v>0</v>
      </c>
      <c r="XDI391" s="6" t="str">
        <f ca="1">IFERROR(INDEX(Table_Projects_17[],MATCH(ROW(XDH390),XDG$2:XDG$1048576,0),1),"")</f>
        <v/>
      </c>
    </row>
    <row r="392" spans="1:1 16335:16337" x14ac:dyDescent="0.25">
      <c r="A392" s="5">
        <f ca="1">IF(ISNUMBER(SEARCH(INDIRECT(CELL("address")),Platforma_metis)),MAX(A$1:$A391)+1,0)</f>
        <v>0</v>
      </c>
      <c r="XDG392" s="6" t="str">
        <f ca="1">IF(XDH392=0,"",COUNTIF(A$1:$A392,"&gt;0"))</f>
        <v/>
      </c>
      <c r="XDH392" s="6">
        <f ca="1">IFERROR(SEARCH(INDIRECT(CELL("address")),B:B),0)</f>
        <v>0</v>
      </c>
      <c r="XDI392" s="6" t="str">
        <f ca="1">IFERROR(INDEX(Table_Projects_17[],MATCH(ROW(XDH391),XDG$2:XDG$1048576,0),1),"")</f>
        <v/>
      </c>
    </row>
    <row r="393" spans="1:1 16335:16337" x14ac:dyDescent="0.25">
      <c r="A393" s="5">
        <f ca="1">IF(ISNUMBER(SEARCH(INDIRECT(CELL("address")),Platforma_metis)),MAX(A$1:$A392)+1,0)</f>
        <v>0</v>
      </c>
      <c r="XDG393" s="6" t="str">
        <f ca="1">IF(XDH393=0,"",COUNTIF(A$1:$A393,"&gt;0"))</f>
        <v/>
      </c>
      <c r="XDH393" s="6">
        <f ca="1">IFERROR(SEARCH(INDIRECT(CELL("address")),B:B),0)</f>
        <v>0</v>
      </c>
      <c r="XDI393" s="6" t="str">
        <f ca="1">IFERROR(INDEX(Table_Projects_17[],MATCH(ROW(XDH392),XDG$2:XDG$1048576,0),1),"")</f>
        <v/>
      </c>
    </row>
    <row r="394" spans="1:1 16335:16337" x14ac:dyDescent="0.25">
      <c r="A394" s="5">
        <f ca="1">IF(ISNUMBER(SEARCH(INDIRECT(CELL("address")),Platforma_metis)),MAX(A$1:$A393)+1,0)</f>
        <v>0</v>
      </c>
      <c r="XDG394" s="6" t="str">
        <f ca="1">IF(XDH394=0,"",COUNTIF(A$1:$A394,"&gt;0"))</f>
        <v/>
      </c>
      <c r="XDH394" s="6">
        <f ca="1">IFERROR(SEARCH(INDIRECT(CELL("address")),B:B),0)</f>
        <v>0</v>
      </c>
      <c r="XDI394" s="6" t="str">
        <f ca="1">IFERROR(INDEX(Table_Projects_17[],MATCH(ROW(XDH393),XDG$2:XDG$1048576,0),1),"")</f>
        <v/>
      </c>
    </row>
    <row r="395" spans="1:1 16335:16337" x14ac:dyDescent="0.25">
      <c r="A395" s="5">
        <f ca="1">IF(ISNUMBER(SEARCH(INDIRECT(CELL("address")),Platforma_metis)),MAX(A$1:$A394)+1,0)</f>
        <v>0</v>
      </c>
      <c r="XDG395" s="6" t="str">
        <f ca="1">IF(XDH395=0,"",COUNTIF(A$1:$A395,"&gt;0"))</f>
        <v/>
      </c>
      <c r="XDH395" s="6">
        <f ca="1">IFERROR(SEARCH(INDIRECT(CELL("address")),B:B),0)</f>
        <v>0</v>
      </c>
      <c r="XDI395" s="6" t="str">
        <f ca="1">IFERROR(INDEX(Table_Projects_17[],MATCH(ROW(XDH394),XDG$2:XDG$1048576,0),1),"")</f>
        <v/>
      </c>
    </row>
    <row r="396" spans="1:1 16335:16337" x14ac:dyDescent="0.25">
      <c r="A396" s="5">
        <f ca="1">IF(ISNUMBER(SEARCH(INDIRECT(CELL("address")),Platforma_metis)),MAX(A$1:$A395)+1,0)</f>
        <v>0</v>
      </c>
      <c r="XDG396" s="6" t="str">
        <f ca="1">IF(XDH396=0,"",COUNTIF(A$1:$A396,"&gt;0"))</f>
        <v/>
      </c>
      <c r="XDH396" s="6">
        <f ca="1">IFERROR(SEARCH(INDIRECT(CELL("address")),B:B),0)</f>
        <v>0</v>
      </c>
      <c r="XDI396" s="6" t="str">
        <f ca="1">IFERROR(INDEX(Table_Projects_17[],MATCH(ROW(XDH395),XDG$2:XDG$1048576,0),1),"")</f>
        <v/>
      </c>
    </row>
    <row r="397" spans="1:1 16335:16337" x14ac:dyDescent="0.25">
      <c r="A397" s="5">
        <f ca="1">IF(ISNUMBER(SEARCH(INDIRECT(CELL("address")),Platforma_metis)),MAX(A$1:$A396)+1,0)</f>
        <v>0</v>
      </c>
      <c r="XDG397" s="6" t="str">
        <f ca="1">IF(XDH397=0,"",COUNTIF(A$1:$A397,"&gt;0"))</f>
        <v/>
      </c>
      <c r="XDH397" s="6">
        <f ca="1">IFERROR(SEARCH(INDIRECT(CELL("address")),B:B),0)</f>
        <v>0</v>
      </c>
      <c r="XDI397" s="6" t="str">
        <f ca="1">IFERROR(INDEX(Table_Projects_17[],MATCH(ROW(XDH396),XDG$2:XDG$1048576,0),1),"")</f>
        <v/>
      </c>
    </row>
    <row r="398" spans="1:1 16335:16337" x14ac:dyDescent="0.25">
      <c r="A398" s="5">
        <f ca="1">IF(ISNUMBER(SEARCH(INDIRECT(CELL("address")),Platforma_metis)),MAX(A$1:$A397)+1,0)</f>
        <v>0</v>
      </c>
      <c r="XDG398" s="6" t="str">
        <f ca="1">IF(XDH398=0,"",COUNTIF(A$1:$A398,"&gt;0"))</f>
        <v/>
      </c>
      <c r="XDH398" s="6">
        <f ca="1">IFERROR(SEARCH(INDIRECT(CELL("address")),B:B),0)</f>
        <v>0</v>
      </c>
      <c r="XDI398" s="6" t="str">
        <f ca="1">IFERROR(INDEX(Table_Projects_17[],MATCH(ROW(XDH397),XDG$2:XDG$1048576,0),1),"")</f>
        <v/>
      </c>
    </row>
    <row r="399" spans="1:1 16335:16337" x14ac:dyDescent="0.25">
      <c r="A399" s="5">
        <f ca="1">IF(ISNUMBER(SEARCH(INDIRECT(CELL("address")),Platforma_metis)),MAX(A$1:$A398)+1,0)</f>
        <v>0</v>
      </c>
      <c r="XDG399" s="6" t="str">
        <f ca="1">IF(XDH399=0,"",COUNTIF(A$1:$A399,"&gt;0"))</f>
        <v/>
      </c>
      <c r="XDH399" s="6">
        <f ca="1">IFERROR(SEARCH(INDIRECT(CELL("address")),B:B),0)</f>
        <v>0</v>
      </c>
      <c r="XDI399" s="6" t="str">
        <f ca="1">IFERROR(INDEX(Table_Projects_17[],MATCH(ROW(XDH398),XDG$2:XDG$1048576,0),1),"")</f>
        <v/>
      </c>
    </row>
    <row r="400" spans="1:1 16335:16337" x14ac:dyDescent="0.25">
      <c r="A400" s="5">
        <f ca="1">IF(ISNUMBER(SEARCH(INDIRECT(CELL("address")),Platforma_metis)),MAX(A$1:$A399)+1,0)</f>
        <v>0</v>
      </c>
      <c r="XDG400" s="6" t="str">
        <f ca="1">IF(XDH400=0,"",COUNTIF(A$1:$A400,"&gt;0"))</f>
        <v/>
      </c>
      <c r="XDH400" s="6">
        <f ca="1">IFERROR(SEARCH(INDIRECT(CELL("address")),B:B),0)</f>
        <v>0</v>
      </c>
      <c r="XDI400" s="6" t="str">
        <f ca="1">IFERROR(INDEX(Table_Projects_17[],MATCH(ROW(XDH399),XDG$2:XDG$1048576,0),1),"")</f>
        <v/>
      </c>
    </row>
    <row r="401" spans="1:1 16335:16337" x14ac:dyDescent="0.25">
      <c r="A401" s="5">
        <f ca="1">IF(ISNUMBER(SEARCH(INDIRECT(CELL("address")),Platforma_metis)),MAX(A$1:$A400)+1,0)</f>
        <v>0</v>
      </c>
      <c r="XDG401" s="6" t="str">
        <f ca="1">IF(XDH401=0,"",COUNTIF(A$1:$A401,"&gt;0"))</f>
        <v/>
      </c>
      <c r="XDH401" s="6">
        <f ca="1">IFERROR(SEARCH(INDIRECT(CELL("address")),B:B),0)</f>
        <v>0</v>
      </c>
      <c r="XDI401" s="6" t="str">
        <f ca="1">IFERROR(INDEX(Table_Projects_17[],MATCH(ROW(XDH400),XDG$2:XDG$1048576,0),1),"")</f>
        <v/>
      </c>
    </row>
    <row r="402" spans="1:1 16335:16337" x14ac:dyDescent="0.25">
      <c r="A402" s="5">
        <f ca="1">IF(ISNUMBER(SEARCH(INDIRECT(CELL("address")),Platforma_metis)),MAX(A$1:$A401)+1,0)</f>
        <v>0</v>
      </c>
      <c r="XDG402" s="6" t="str">
        <f ca="1">IF(XDH402=0,"",COUNTIF(A$1:$A402,"&gt;0"))</f>
        <v/>
      </c>
      <c r="XDH402" s="6">
        <f ca="1">IFERROR(SEARCH(INDIRECT(CELL("address")),B:B),0)</f>
        <v>0</v>
      </c>
      <c r="XDI402" s="6" t="str">
        <f ca="1">IFERROR(INDEX(Table_Projects_17[],MATCH(ROW(XDH401),XDG$2:XDG$1048576,0),1),"")</f>
        <v/>
      </c>
    </row>
    <row r="403" spans="1:1 16335:16337" x14ac:dyDescent="0.25">
      <c r="A403" s="5">
        <f ca="1">IF(ISNUMBER(SEARCH(INDIRECT(CELL("address")),Platforma_metis)),MAX(A$1:$A402)+1,0)</f>
        <v>0</v>
      </c>
      <c r="XDG403" s="6" t="str">
        <f ca="1">IF(XDH403=0,"",COUNTIF(A$1:$A403,"&gt;0"))</f>
        <v/>
      </c>
      <c r="XDH403" s="6">
        <f ca="1">IFERROR(SEARCH(INDIRECT(CELL("address")),B:B),0)</f>
        <v>0</v>
      </c>
      <c r="XDI403" s="6" t="str">
        <f ca="1">IFERROR(INDEX(Table_Projects_17[],MATCH(ROW(XDH402),XDG$2:XDG$1048576,0),1),"")</f>
        <v/>
      </c>
    </row>
    <row r="404" spans="1:1 16335:16337" x14ac:dyDescent="0.25">
      <c r="A404" s="5">
        <f ca="1">IF(ISNUMBER(SEARCH(INDIRECT(CELL("address")),Platforma_metis)),MAX(A$1:$A403)+1,0)</f>
        <v>0</v>
      </c>
      <c r="XDG404" s="6" t="str">
        <f ca="1">IF(XDH404=0,"",COUNTIF(A$1:$A404,"&gt;0"))</f>
        <v/>
      </c>
      <c r="XDH404" s="6">
        <f ca="1">IFERROR(SEARCH(INDIRECT(CELL("address")),B:B),0)</f>
        <v>0</v>
      </c>
      <c r="XDI404" s="6" t="str">
        <f ca="1">IFERROR(INDEX(Table_Projects_17[],MATCH(ROW(XDH403),XDG$2:XDG$1048576,0),1),"")</f>
        <v/>
      </c>
    </row>
    <row r="405" spans="1:1 16335:16337" x14ac:dyDescent="0.25">
      <c r="A405" s="5">
        <f ca="1">IF(ISNUMBER(SEARCH(INDIRECT(CELL("address")),Platforma_metis)),MAX(A$1:$A404)+1,0)</f>
        <v>0</v>
      </c>
      <c r="XDG405" s="6" t="str">
        <f ca="1">IF(XDH405=0,"",COUNTIF(A$1:$A405,"&gt;0"))</f>
        <v/>
      </c>
      <c r="XDH405" s="6">
        <f ca="1">IFERROR(SEARCH(INDIRECT(CELL("address")),B:B),0)</f>
        <v>0</v>
      </c>
      <c r="XDI405" s="6" t="str">
        <f ca="1">IFERROR(INDEX(Table_Projects_17[],MATCH(ROW(XDH404),XDG$2:XDG$1048576,0),1),"")</f>
        <v/>
      </c>
    </row>
    <row r="406" spans="1:1 16335:16337" x14ac:dyDescent="0.25">
      <c r="A406" s="5">
        <f ca="1">IF(ISNUMBER(SEARCH(INDIRECT(CELL("address")),Platforma_metis)),MAX(A$1:$A405)+1,0)</f>
        <v>0</v>
      </c>
      <c r="XDG406" s="6" t="str">
        <f ca="1">IF(XDH406=0,"",COUNTIF(A$1:$A406,"&gt;0"))</f>
        <v/>
      </c>
      <c r="XDH406" s="6">
        <f ca="1">IFERROR(SEARCH(INDIRECT(CELL("address")),B:B),0)</f>
        <v>0</v>
      </c>
      <c r="XDI406" s="6" t="str">
        <f ca="1">IFERROR(INDEX(Table_Projects_17[],MATCH(ROW(XDH405),XDG$2:XDG$1048576,0),1),"")</f>
        <v/>
      </c>
    </row>
    <row r="407" spans="1:1 16335:16337" x14ac:dyDescent="0.25">
      <c r="A407" s="5">
        <f ca="1">IF(ISNUMBER(SEARCH(INDIRECT(CELL("address")),Platforma_metis)),MAX(A$1:$A406)+1,0)</f>
        <v>0</v>
      </c>
      <c r="XDG407" s="6" t="str">
        <f ca="1">IF(XDH407=0,"",COUNTIF(A$1:$A407,"&gt;0"))</f>
        <v/>
      </c>
      <c r="XDH407" s="6">
        <f ca="1">IFERROR(SEARCH(INDIRECT(CELL("address")),B:B),0)</f>
        <v>0</v>
      </c>
      <c r="XDI407" s="6" t="str">
        <f ca="1">IFERROR(INDEX(Table_Projects_17[],MATCH(ROW(XDH406),XDG$2:XDG$1048576,0),1),"")</f>
        <v/>
      </c>
    </row>
    <row r="408" spans="1:1 16335:16337" x14ac:dyDescent="0.25">
      <c r="A408" s="5">
        <f ca="1">IF(ISNUMBER(SEARCH(INDIRECT(CELL("address")),Platforma_metis)),MAX(A$1:$A407)+1,0)</f>
        <v>0</v>
      </c>
      <c r="XDG408" s="6" t="str">
        <f ca="1">IF(XDH408=0,"",COUNTIF(A$1:$A408,"&gt;0"))</f>
        <v/>
      </c>
      <c r="XDH408" s="6">
        <f ca="1">IFERROR(SEARCH(INDIRECT(CELL("address")),B:B),0)</f>
        <v>0</v>
      </c>
      <c r="XDI408" s="6" t="str">
        <f ca="1">IFERROR(INDEX(Table_Projects_17[],MATCH(ROW(XDH407),XDG$2:XDG$1048576,0),1),"")</f>
        <v/>
      </c>
    </row>
    <row r="409" spans="1:1 16335:16337" x14ac:dyDescent="0.25">
      <c r="A409" s="5">
        <f ca="1">IF(ISNUMBER(SEARCH(INDIRECT(CELL("address")),Platforma_metis)),MAX(A$1:$A408)+1,0)</f>
        <v>0</v>
      </c>
      <c r="XDG409" s="6" t="str">
        <f ca="1">IF(XDH409=0,"",COUNTIF(A$1:$A409,"&gt;0"))</f>
        <v/>
      </c>
      <c r="XDH409" s="6">
        <f ca="1">IFERROR(SEARCH(INDIRECT(CELL("address")),B:B),0)</f>
        <v>0</v>
      </c>
      <c r="XDI409" s="6" t="str">
        <f ca="1">IFERROR(INDEX(Table_Projects_17[],MATCH(ROW(XDH408),XDG$2:XDG$1048576,0),1),"")</f>
        <v/>
      </c>
    </row>
    <row r="410" spans="1:1 16335:16337" x14ac:dyDescent="0.25">
      <c r="A410" s="5">
        <f ca="1">IF(ISNUMBER(SEARCH(INDIRECT(CELL("address")),Platforma_metis)),MAX(A$1:$A409)+1,0)</f>
        <v>0</v>
      </c>
      <c r="XDG410" s="6" t="str">
        <f ca="1">IF(XDH410=0,"",COUNTIF(A$1:$A410,"&gt;0"))</f>
        <v/>
      </c>
      <c r="XDH410" s="6">
        <f ca="1">IFERROR(SEARCH(INDIRECT(CELL("address")),B:B),0)</f>
        <v>0</v>
      </c>
      <c r="XDI410" s="6" t="str">
        <f ca="1">IFERROR(INDEX(Table_Projects_17[],MATCH(ROW(XDH409),XDG$2:XDG$1048576,0),1),"")</f>
        <v/>
      </c>
    </row>
    <row r="411" spans="1:1 16335:16337" x14ac:dyDescent="0.25">
      <c r="A411" s="5">
        <f ca="1">IF(ISNUMBER(SEARCH(INDIRECT(CELL("address")),Platforma_metis)),MAX(A$1:$A410)+1,0)</f>
        <v>0</v>
      </c>
      <c r="XDG411" s="6" t="str">
        <f ca="1">IF(XDH411=0,"",COUNTIF(A$1:$A411,"&gt;0"))</f>
        <v/>
      </c>
      <c r="XDH411" s="6">
        <f ca="1">IFERROR(SEARCH(INDIRECT(CELL("address")),B:B),0)</f>
        <v>0</v>
      </c>
      <c r="XDI411" s="6" t="str">
        <f ca="1">IFERROR(INDEX(Table_Projects_17[],MATCH(ROW(XDH410),XDG$2:XDG$1048576,0),1),"")</f>
        <v/>
      </c>
    </row>
    <row r="412" spans="1:1 16335:16337" x14ac:dyDescent="0.25">
      <c r="A412" s="5">
        <f ca="1">IF(ISNUMBER(SEARCH(INDIRECT(CELL("address")),Platforma_metis)),MAX(A$1:$A411)+1,0)</f>
        <v>0</v>
      </c>
      <c r="XDG412" s="6" t="str">
        <f ca="1">IF(XDH412=0,"",COUNTIF(A$1:$A412,"&gt;0"))</f>
        <v/>
      </c>
      <c r="XDH412" s="6">
        <f ca="1">IFERROR(SEARCH(INDIRECT(CELL("address")),B:B),0)</f>
        <v>0</v>
      </c>
      <c r="XDI412" s="6" t="str">
        <f ca="1">IFERROR(INDEX(Table_Projects_17[],MATCH(ROW(XDH411),XDG$2:XDG$1048576,0),1),"")</f>
        <v/>
      </c>
    </row>
    <row r="413" spans="1:1 16335:16337" x14ac:dyDescent="0.25">
      <c r="A413" s="5">
        <f ca="1">IF(ISNUMBER(SEARCH(INDIRECT(CELL("address")),Platforma_metis)),MAX(A$1:$A412)+1,0)</f>
        <v>0</v>
      </c>
      <c r="XDG413" s="6" t="str">
        <f ca="1">IF(XDH413=0,"",COUNTIF(A$1:$A413,"&gt;0"))</f>
        <v/>
      </c>
      <c r="XDH413" s="6">
        <f ca="1">IFERROR(SEARCH(INDIRECT(CELL("address")),B:B),0)</f>
        <v>0</v>
      </c>
      <c r="XDI413" s="6" t="str">
        <f ca="1">IFERROR(INDEX(Table_Projects_17[],MATCH(ROW(XDH412),XDG$2:XDG$1048576,0),1),"")</f>
        <v/>
      </c>
    </row>
    <row r="414" spans="1:1 16335:16337" x14ac:dyDescent="0.25">
      <c r="A414" s="5">
        <f ca="1">IF(ISNUMBER(SEARCH(INDIRECT(CELL("address")),Platforma_metis)),MAX(A$1:$A413)+1,0)</f>
        <v>0</v>
      </c>
      <c r="XDG414" s="6" t="str">
        <f ca="1">IF(XDH414=0,"",COUNTIF(A$1:$A414,"&gt;0"))</f>
        <v/>
      </c>
      <c r="XDH414" s="6">
        <f ca="1">IFERROR(SEARCH(INDIRECT(CELL("address")),B:B),0)</f>
        <v>0</v>
      </c>
      <c r="XDI414" s="6" t="str">
        <f ca="1">IFERROR(INDEX(Table_Projects_17[],MATCH(ROW(XDH413),XDG$2:XDG$1048576,0),1),"")</f>
        <v/>
      </c>
    </row>
    <row r="415" spans="1:1 16335:16337" x14ac:dyDescent="0.25">
      <c r="A415" s="5">
        <f ca="1">IF(ISNUMBER(SEARCH(INDIRECT(CELL("address")),Platforma_metis)),MAX(A$1:$A414)+1,0)</f>
        <v>0</v>
      </c>
      <c r="XDG415" s="6" t="str">
        <f ca="1">IF(XDH415=0,"",COUNTIF(A$1:$A415,"&gt;0"))</f>
        <v/>
      </c>
      <c r="XDH415" s="6">
        <f ca="1">IFERROR(SEARCH(INDIRECT(CELL("address")),B:B),0)</f>
        <v>0</v>
      </c>
      <c r="XDI415" s="6" t="str">
        <f ca="1">IFERROR(INDEX(Table_Projects_17[],MATCH(ROW(XDH414),XDG$2:XDG$1048576,0),1),"")</f>
        <v/>
      </c>
    </row>
    <row r="416" spans="1:1 16335:16337" x14ac:dyDescent="0.25">
      <c r="A416" s="5">
        <f ca="1">IF(ISNUMBER(SEARCH(INDIRECT(CELL("address")),Platforma_metis)),MAX(A$1:$A415)+1,0)</f>
        <v>0</v>
      </c>
      <c r="XDG416" s="6" t="str">
        <f ca="1">IF(XDH416=0,"",COUNTIF(A$1:$A416,"&gt;0"))</f>
        <v/>
      </c>
      <c r="XDH416" s="6">
        <f ca="1">IFERROR(SEARCH(INDIRECT(CELL("address")),B:B),0)</f>
        <v>0</v>
      </c>
      <c r="XDI416" s="6" t="str">
        <f ca="1">IFERROR(INDEX(Table_Projects_17[],MATCH(ROW(XDH415),XDG$2:XDG$1048576,0),1),"")</f>
        <v/>
      </c>
    </row>
    <row r="417" spans="1:1 16335:16337" x14ac:dyDescent="0.25">
      <c r="A417" s="5">
        <f ca="1">IF(ISNUMBER(SEARCH(INDIRECT(CELL("address")),Platforma_metis)),MAX(A$1:$A416)+1,0)</f>
        <v>0</v>
      </c>
      <c r="XDG417" s="6" t="str">
        <f ca="1">IF(XDH417=0,"",COUNTIF(A$1:$A417,"&gt;0"))</f>
        <v/>
      </c>
      <c r="XDH417" s="6">
        <f ca="1">IFERROR(SEARCH(INDIRECT(CELL("address")),B:B),0)</f>
        <v>0</v>
      </c>
      <c r="XDI417" s="6" t="str">
        <f ca="1">IFERROR(INDEX(Table_Projects_17[],MATCH(ROW(XDH416),XDG$2:XDG$1048576,0),1),"")</f>
        <v/>
      </c>
    </row>
    <row r="418" spans="1:1 16335:16337" x14ac:dyDescent="0.25">
      <c r="A418" s="5">
        <f ca="1">IF(ISNUMBER(SEARCH(INDIRECT(CELL("address")),Platforma_metis)),MAX(A$1:$A417)+1,0)</f>
        <v>0</v>
      </c>
      <c r="XDG418" s="6" t="str">
        <f ca="1">IF(XDH418=0,"",COUNTIF(A$1:$A418,"&gt;0"))</f>
        <v/>
      </c>
      <c r="XDH418" s="6">
        <f ca="1">IFERROR(SEARCH(INDIRECT(CELL("address")),B:B),0)</f>
        <v>0</v>
      </c>
      <c r="XDI418" s="6" t="str">
        <f ca="1">IFERROR(INDEX(Table_Projects_17[],MATCH(ROW(XDH417),XDG$2:XDG$1048576,0),1),"")</f>
        <v/>
      </c>
    </row>
    <row r="419" spans="1:1 16335:16337" x14ac:dyDescent="0.25">
      <c r="A419" s="5">
        <f ca="1">IF(ISNUMBER(SEARCH(INDIRECT(CELL("address")),Platforma_metis)),MAX(A$1:$A418)+1,0)</f>
        <v>0</v>
      </c>
      <c r="XDG419" s="6" t="str">
        <f ca="1">IF(XDH419=0,"",COUNTIF(A$1:$A419,"&gt;0"))</f>
        <v/>
      </c>
      <c r="XDH419" s="6">
        <f ca="1">IFERROR(SEARCH(INDIRECT(CELL("address")),B:B),0)</f>
        <v>0</v>
      </c>
      <c r="XDI419" s="6" t="str">
        <f ca="1">IFERROR(INDEX(Table_Projects_17[],MATCH(ROW(XDH418),XDG$2:XDG$1048576,0),1),"")</f>
        <v/>
      </c>
    </row>
    <row r="420" spans="1:1 16335:16337" x14ac:dyDescent="0.25">
      <c r="A420" s="5">
        <f ca="1">IF(ISNUMBER(SEARCH(INDIRECT(CELL("address")),Platforma_metis)),MAX(A$1:$A419)+1,0)</f>
        <v>0</v>
      </c>
      <c r="XDG420" s="6" t="str">
        <f ca="1">IF(XDH420=0,"",COUNTIF(A$1:$A420,"&gt;0"))</f>
        <v/>
      </c>
      <c r="XDH420" s="6">
        <f ca="1">IFERROR(SEARCH(INDIRECT(CELL("address")),B:B),0)</f>
        <v>0</v>
      </c>
      <c r="XDI420" s="6" t="str">
        <f ca="1">IFERROR(INDEX(Table_Projects_17[],MATCH(ROW(XDH419),XDG$2:XDG$1048576,0),1),"")</f>
        <v/>
      </c>
    </row>
    <row r="421" spans="1:1 16335:16337" x14ac:dyDescent="0.25">
      <c r="A421" s="5">
        <f ca="1">IF(ISNUMBER(SEARCH(INDIRECT(CELL("address")),Platforma_metis)),MAX(A$1:$A420)+1,0)</f>
        <v>0</v>
      </c>
      <c r="XDG421" s="6" t="str">
        <f ca="1">IF(XDH421=0,"",COUNTIF(A$1:$A421,"&gt;0"))</f>
        <v/>
      </c>
      <c r="XDH421" s="6">
        <f ca="1">IFERROR(SEARCH(INDIRECT(CELL("address")),B:B),0)</f>
        <v>0</v>
      </c>
      <c r="XDI421" s="6" t="str">
        <f ca="1">IFERROR(INDEX(Table_Projects_17[],MATCH(ROW(XDH420),XDG$2:XDG$1048576,0),1),"")</f>
        <v/>
      </c>
    </row>
    <row r="422" spans="1:1 16335:16337" x14ac:dyDescent="0.25">
      <c r="A422" s="5">
        <f ca="1">IF(ISNUMBER(SEARCH(INDIRECT(CELL("address")),Platforma_metis)),MAX(A$1:$A421)+1,0)</f>
        <v>0</v>
      </c>
      <c r="XDG422" s="6" t="str">
        <f ca="1">IF(XDH422=0,"",COUNTIF(A$1:$A422,"&gt;0"))</f>
        <v/>
      </c>
      <c r="XDH422" s="6">
        <f ca="1">IFERROR(SEARCH(INDIRECT(CELL("address")),B:B),0)</f>
        <v>0</v>
      </c>
      <c r="XDI422" s="6" t="str">
        <f ca="1">IFERROR(INDEX(Table_Projects_17[],MATCH(ROW(XDH421),XDG$2:XDG$1048576,0),1),"")</f>
        <v/>
      </c>
    </row>
    <row r="423" spans="1:1 16335:16337" x14ac:dyDescent="0.25">
      <c r="A423" s="5">
        <f ca="1">IF(ISNUMBER(SEARCH(INDIRECT(CELL("address")),Platforma_metis)),MAX(A$1:$A422)+1,0)</f>
        <v>0</v>
      </c>
      <c r="XDG423" s="6" t="str">
        <f ca="1">IF(XDH423=0,"",COUNTIF(A$1:$A423,"&gt;0"))</f>
        <v/>
      </c>
      <c r="XDH423" s="6">
        <f ca="1">IFERROR(SEARCH(INDIRECT(CELL("address")),B:B),0)</f>
        <v>0</v>
      </c>
      <c r="XDI423" s="6" t="str">
        <f ca="1">IFERROR(INDEX(Table_Projects_17[],MATCH(ROW(XDH422),XDG$2:XDG$1048576,0),1),"")</f>
        <v/>
      </c>
    </row>
    <row r="424" spans="1:1 16335:16337" x14ac:dyDescent="0.25">
      <c r="A424" s="5">
        <f ca="1">IF(ISNUMBER(SEARCH(INDIRECT(CELL("address")),Platforma_metis)),MAX(A$1:$A423)+1,0)</f>
        <v>0</v>
      </c>
      <c r="XDG424" s="6" t="str">
        <f ca="1">IF(XDH424=0,"",COUNTIF(A$1:$A424,"&gt;0"))</f>
        <v/>
      </c>
      <c r="XDH424" s="6">
        <f ca="1">IFERROR(SEARCH(INDIRECT(CELL("address")),B:B),0)</f>
        <v>0</v>
      </c>
      <c r="XDI424" s="6" t="str">
        <f ca="1">IFERROR(INDEX(Table_Projects_17[],MATCH(ROW(XDH423),XDG$2:XDG$1048576,0),1),"")</f>
        <v/>
      </c>
    </row>
    <row r="425" spans="1:1 16335:16337" x14ac:dyDescent="0.25">
      <c r="A425" s="5">
        <f ca="1">IF(ISNUMBER(SEARCH(INDIRECT(CELL("address")),Platforma_metis)),MAX(A$1:$A424)+1,0)</f>
        <v>0</v>
      </c>
      <c r="XDG425" s="6" t="str">
        <f ca="1">IF(XDH425=0,"",COUNTIF(A$1:$A425,"&gt;0"))</f>
        <v/>
      </c>
      <c r="XDH425" s="6">
        <f ca="1">IFERROR(SEARCH(INDIRECT(CELL("address")),B:B),0)</f>
        <v>0</v>
      </c>
      <c r="XDI425" s="6" t="str">
        <f ca="1">IFERROR(INDEX(Table_Projects_17[],MATCH(ROW(XDH424),XDG$2:XDG$1048576,0),1),"")</f>
        <v/>
      </c>
    </row>
    <row r="426" spans="1:1 16335:16337" x14ac:dyDescent="0.25">
      <c r="A426" s="5">
        <f ca="1">IF(ISNUMBER(SEARCH(INDIRECT(CELL("address")),Platforma_metis)),MAX(A$1:$A425)+1,0)</f>
        <v>0</v>
      </c>
      <c r="XDG426" s="6" t="str">
        <f ca="1">IF(XDH426=0,"",COUNTIF(A$1:$A426,"&gt;0"))</f>
        <v/>
      </c>
      <c r="XDH426" s="6">
        <f ca="1">IFERROR(SEARCH(INDIRECT(CELL("address")),B:B),0)</f>
        <v>0</v>
      </c>
      <c r="XDI426" s="6" t="str">
        <f ca="1">IFERROR(INDEX(Table_Projects_17[],MATCH(ROW(XDH425),XDG$2:XDG$1048576,0),1),"")</f>
        <v/>
      </c>
    </row>
    <row r="427" spans="1:1 16335:16337" x14ac:dyDescent="0.25">
      <c r="A427" s="5">
        <f ca="1">IF(ISNUMBER(SEARCH(INDIRECT(CELL("address")),Platforma_metis)),MAX(A$1:$A426)+1,0)</f>
        <v>0</v>
      </c>
      <c r="XDG427" s="6" t="str">
        <f ca="1">IF(XDH427=0,"",COUNTIF(A$1:$A427,"&gt;0"))</f>
        <v/>
      </c>
      <c r="XDH427" s="6">
        <f ca="1">IFERROR(SEARCH(INDIRECT(CELL("address")),B:B),0)</f>
        <v>0</v>
      </c>
      <c r="XDI427" s="6" t="str">
        <f ca="1">IFERROR(INDEX(Table_Projects_17[],MATCH(ROW(XDH426),XDG$2:XDG$1048576,0),1),"")</f>
        <v/>
      </c>
    </row>
    <row r="428" spans="1:1 16335:16337" x14ac:dyDescent="0.25">
      <c r="A428" s="5">
        <f ca="1">IF(ISNUMBER(SEARCH(INDIRECT(CELL("address")),Platforma_metis)),MAX(A$1:$A427)+1,0)</f>
        <v>0</v>
      </c>
      <c r="XDG428" s="6" t="str">
        <f ca="1">IF(XDH428=0,"",COUNTIF(A$1:$A428,"&gt;0"))</f>
        <v/>
      </c>
      <c r="XDH428" s="6">
        <f ca="1">IFERROR(SEARCH(INDIRECT(CELL("address")),B:B),0)</f>
        <v>0</v>
      </c>
      <c r="XDI428" s="6" t="str">
        <f ca="1">IFERROR(INDEX(Table_Projects_17[],MATCH(ROW(XDH427),XDG$2:XDG$1048576,0),1),"")</f>
        <v/>
      </c>
    </row>
    <row r="429" spans="1:1 16335:16337" x14ac:dyDescent="0.25">
      <c r="A429" s="5">
        <f ca="1">IF(ISNUMBER(SEARCH(INDIRECT(CELL("address")),Platforma_metis)),MAX(A$1:$A428)+1,0)</f>
        <v>0</v>
      </c>
      <c r="XDG429" s="6" t="str">
        <f ca="1">IF(XDH429=0,"",COUNTIF(A$1:$A429,"&gt;0"))</f>
        <v/>
      </c>
      <c r="XDH429" s="6">
        <f ca="1">IFERROR(SEARCH(INDIRECT(CELL("address")),B:B),0)</f>
        <v>0</v>
      </c>
      <c r="XDI429" s="6" t="str">
        <f ca="1">IFERROR(INDEX(Table_Projects_17[],MATCH(ROW(XDH428),XDG$2:XDG$1048576,0),1),"")</f>
        <v/>
      </c>
    </row>
    <row r="430" spans="1:1 16335:16337" x14ac:dyDescent="0.25">
      <c r="A430" s="5">
        <f ca="1">IF(ISNUMBER(SEARCH(INDIRECT(CELL("address")),Platforma_metis)),MAX(A$1:$A429)+1,0)</f>
        <v>0</v>
      </c>
      <c r="XDG430" s="6" t="str">
        <f ca="1">IF(XDH430=0,"",COUNTIF(A$1:$A430,"&gt;0"))</f>
        <v/>
      </c>
      <c r="XDH430" s="6">
        <f ca="1">IFERROR(SEARCH(INDIRECT(CELL("address")),B:B),0)</f>
        <v>0</v>
      </c>
      <c r="XDI430" s="6" t="str">
        <f ca="1">IFERROR(INDEX(Table_Projects_17[],MATCH(ROW(XDH429),XDG$2:XDG$1048576,0),1),"")</f>
        <v/>
      </c>
    </row>
    <row r="431" spans="1:1 16335:16337" x14ac:dyDescent="0.25">
      <c r="A431" s="5">
        <f ca="1">IF(ISNUMBER(SEARCH(INDIRECT(CELL("address")),Platforma_metis)),MAX(A$1:$A430)+1,0)</f>
        <v>0</v>
      </c>
      <c r="XDG431" s="6" t="str">
        <f ca="1">IF(XDH431=0,"",COUNTIF(A$1:$A431,"&gt;0"))</f>
        <v/>
      </c>
      <c r="XDH431" s="6">
        <f ca="1">IFERROR(SEARCH(INDIRECT(CELL("address")),B:B),0)</f>
        <v>0</v>
      </c>
      <c r="XDI431" s="6" t="str">
        <f ca="1">IFERROR(INDEX(Table_Projects_17[],MATCH(ROW(XDH430),XDG$2:XDG$1048576,0),1),"")</f>
        <v/>
      </c>
    </row>
    <row r="432" spans="1:1 16335:16337" x14ac:dyDescent="0.25">
      <c r="A432" s="5">
        <f ca="1">IF(ISNUMBER(SEARCH(INDIRECT(CELL("address")),Platforma_metis)),MAX(A$1:$A431)+1,0)</f>
        <v>0</v>
      </c>
      <c r="XDG432" s="6" t="str">
        <f ca="1">IF(XDH432=0,"",COUNTIF(A$1:$A432,"&gt;0"))</f>
        <v/>
      </c>
      <c r="XDH432" s="6">
        <f ca="1">IFERROR(SEARCH(INDIRECT(CELL("address")),B:B),0)</f>
        <v>0</v>
      </c>
      <c r="XDI432" s="6" t="str">
        <f ca="1">IFERROR(INDEX(Table_Projects_17[],MATCH(ROW(XDH431),XDG$2:XDG$1048576,0),1),"")</f>
        <v/>
      </c>
    </row>
    <row r="433" spans="1:1 16335:16337" x14ac:dyDescent="0.25">
      <c r="A433" s="5">
        <f ca="1">IF(ISNUMBER(SEARCH(INDIRECT(CELL("address")),Platforma_metis)),MAX(A$1:$A432)+1,0)</f>
        <v>0</v>
      </c>
      <c r="XDG433" s="6" t="str">
        <f ca="1">IF(XDH433=0,"",COUNTIF(A$1:$A433,"&gt;0"))</f>
        <v/>
      </c>
      <c r="XDH433" s="6">
        <f ca="1">IFERROR(SEARCH(INDIRECT(CELL("address")),B:B),0)</f>
        <v>0</v>
      </c>
      <c r="XDI433" s="6" t="str">
        <f ca="1">IFERROR(INDEX(Table_Projects_17[],MATCH(ROW(XDH432),XDG$2:XDG$1048576,0),1),"")</f>
        <v/>
      </c>
    </row>
    <row r="434" spans="1:1 16335:16337" x14ac:dyDescent="0.25">
      <c r="A434" s="5">
        <f ca="1">IF(ISNUMBER(SEARCH(INDIRECT(CELL("address")),Platforma_metis)),MAX(A$1:$A433)+1,0)</f>
        <v>0</v>
      </c>
      <c r="XDG434" s="6" t="str">
        <f ca="1">IF(XDH434=0,"",COUNTIF(A$1:$A434,"&gt;0"))</f>
        <v/>
      </c>
      <c r="XDH434" s="6">
        <f ca="1">IFERROR(SEARCH(INDIRECT(CELL("address")),B:B),0)</f>
        <v>0</v>
      </c>
      <c r="XDI434" s="6" t="str">
        <f ca="1">IFERROR(INDEX(Table_Projects_17[],MATCH(ROW(XDH433),XDG$2:XDG$1048576,0),1),"")</f>
        <v/>
      </c>
    </row>
    <row r="435" spans="1:1 16335:16337" x14ac:dyDescent="0.25">
      <c r="A435" s="5">
        <f ca="1">IF(ISNUMBER(SEARCH(INDIRECT(CELL("address")),Platforma_metis)),MAX(A$1:$A434)+1,0)</f>
        <v>0</v>
      </c>
      <c r="XDG435" s="6" t="str">
        <f ca="1">IF(XDH435=0,"",COUNTIF(A$1:$A435,"&gt;0"))</f>
        <v/>
      </c>
      <c r="XDH435" s="6">
        <f ca="1">IFERROR(SEARCH(INDIRECT(CELL("address")),B:B),0)</f>
        <v>0</v>
      </c>
      <c r="XDI435" s="6" t="str">
        <f ca="1">IFERROR(INDEX(Table_Projects_17[],MATCH(ROW(XDH434),XDG$2:XDG$1048576,0),1),"")</f>
        <v/>
      </c>
    </row>
    <row r="436" spans="1:1 16335:16337" x14ac:dyDescent="0.25">
      <c r="A436" s="5">
        <f ca="1">IF(ISNUMBER(SEARCH(INDIRECT(CELL("address")),Platforma_metis)),MAX(A$1:$A435)+1,0)</f>
        <v>0</v>
      </c>
      <c r="XDG436" s="6" t="str">
        <f ca="1">IF(XDH436=0,"",COUNTIF(A$1:$A436,"&gt;0"))</f>
        <v/>
      </c>
      <c r="XDH436" s="6">
        <f ca="1">IFERROR(SEARCH(INDIRECT(CELL("address")),B:B),0)</f>
        <v>0</v>
      </c>
      <c r="XDI436" s="6" t="str">
        <f ca="1">IFERROR(INDEX(Table_Projects_17[],MATCH(ROW(XDH435),XDG$2:XDG$1048576,0),1),"")</f>
        <v/>
      </c>
    </row>
    <row r="437" spans="1:1 16335:16337" x14ac:dyDescent="0.25">
      <c r="A437" s="5">
        <f ca="1">IF(ISNUMBER(SEARCH(INDIRECT(CELL("address")),Platforma_metis)),MAX(A$1:$A436)+1,0)</f>
        <v>0</v>
      </c>
      <c r="XDG437" s="6" t="str">
        <f ca="1">IF(XDH437=0,"",COUNTIF(A$1:$A437,"&gt;0"))</f>
        <v/>
      </c>
      <c r="XDH437" s="6">
        <f ca="1">IFERROR(SEARCH(INDIRECT(CELL("address")),B:B),0)</f>
        <v>0</v>
      </c>
      <c r="XDI437" s="6" t="str">
        <f ca="1">IFERROR(INDEX(Table_Projects_17[],MATCH(ROW(XDH436),XDG$2:XDG$1048576,0),1),"")</f>
        <v/>
      </c>
    </row>
    <row r="438" spans="1:1 16335:16337" x14ac:dyDescent="0.25">
      <c r="A438" s="5">
        <f ca="1">IF(ISNUMBER(SEARCH(INDIRECT(CELL("address")),Platforma_metis)),MAX(A$1:$A437)+1,0)</f>
        <v>0</v>
      </c>
      <c r="XDG438" s="6" t="str">
        <f ca="1">IF(XDH438=0,"",COUNTIF(A$1:$A438,"&gt;0"))</f>
        <v/>
      </c>
      <c r="XDH438" s="6">
        <f ca="1">IFERROR(SEARCH(INDIRECT(CELL("address")),B:B),0)</f>
        <v>0</v>
      </c>
      <c r="XDI438" s="6" t="str">
        <f ca="1">IFERROR(INDEX(Table_Projects_17[],MATCH(ROW(XDH437),XDG$2:XDG$1048576,0),1),"")</f>
        <v/>
      </c>
    </row>
    <row r="439" spans="1:1 16335:16337" x14ac:dyDescent="0.25">
      <c r="A439" s="5">
        <f ca="1">IF(ISNUMBER(SEARCH(INDIRECT(CELL("address")),Platforma_metis)),MAX(A$1:$A438)+1,0)</f>
        <v>0</v>
      </c>
      <c r="XDG439" s="6" t="str">
        <f ca="1">IF(XDH439=0,"",COUNTIF(A$1:$A439,"&gt;0"))</f>
        <v/>
      </c>
      <c r="XDH439" s="6">
        <f ca="1">IFERROR(SEARCH(INDIRECT(CELL("address")),B:B),0)</f>
        <v>0</v>
      </c>
      <c r="XDI439" s="6" t="str">
        <f ca="1">IFERROR(INDEX(Table_Projects_17[],MATCH(ROW(XDH438),XDG$2:XDG$1048576,0),1),"")</f>
        <v/>
      </c>
    </row>
    <row r="440" spans="1:1 16335:16337" x14ac:dyDescent="0.25">
      <c r="A440" s="5">
        <f ca="1">IF(ISNUMBER(SEARCH(INDIRECT(CELL("address")),Platforma_metis)),MAX(A$1:$A439)+1,0)</f>
        <v>0</v>
      </c>
      <c r="XDG440" s="6" t="str">
        <f ca="1">IF(XDH440=0,"",COUNTIF(A$1:$A440,"&gt;0"))</f>
        <v/>
      </c>
      <c r="XDH440" s="6">
        <f ca="1">IFERROR(SEARCH(INDIRECT(CELL("address")),B:B),0)</f>
        <v>0</v>
      </c>
      <c r="XDI440" s="6" t="str">
        <f ca="1">IFERROR(INDEX(Table_Projects_17[],MATCH(ROW(XDH439),XDG$2:XDG$1048576,0),1),"")</f>
        <v/>
      </c>
    </row>
    <row r="441" spans="1:1 16335:16337" x14ac:dyDescent="0.25">
      <c r="A441" s="5">
        <f ca="1">IF(ISNUMBER(SEARCH(INDIRECT(CELL("address")),Platforma_metis)),MAX(A$1:$A440)+1,0)</f>
        <v>0</v>
      </c>
      <c r="XDG441" s="6" t="str">
        <f ca="1">IF(XDH441=0,"",COUNTIF(A$1:$A441,"&gt;0"))</f>
        <v/>
      </c>
      <c r="XDH441" s="6">
        <f ca="1">IFERROR(SEARCH(INDIRECT(CELL("address")),B:B),0)</f>
        <v>0</v>
      </c>
      <c r="XDI441" s="6" t="str">
        <f ca="1">IFERROR(INDEX(Table_Projects_17[],MATCH(ROW(XDH440),XDG$2:XDG$1048576,0),1),"")</f>
        <v/>
      </c>
    </row>
    <row r="442" spans="1:1 16335:16337" x14ac:dyDescent="0.25">
      <c r="A442" s="5">
        <f ca="1">IF(ISNUMBER(SEARCH(INDIRECT(CELL("address")),Platforma_metis)),MAX(A$1:$A441)+1,0)</f>
        <v>0</v>
      </c>
      <c r="XDG442" s="6" t="str">
        <f ca="1">IF(XDH442=0,"",COUNTIF(A$1:$A442,"&gt;0"))</f>
        <v/>
      </c>
      <c r="XDH442" s="6">
        <f ca="1">IFERROR(SEARCH(INDIRECT(CELL("address")),B:B),0)</f>
        <v>0</v>
      </c>
      <c r="XDI442" s="6" t="str">
        <f ca="1">IFERROR(INDEX(Table_Projects_17[],MATCH(ROW(XDH441),XDG$2:XDG$1048576,0),1),"")</f>
        <v/>
      </c>
    </row>
    <row r="443" spans="1:1 16335:16337" x14ac:dyDescent="0.25">
      <c r="A443" s="5">
        <f ca="1">IF(ISNUMBER(SEARCH(INDIRECT(CELL("address")),Platforma_metis)),MAX(A$1:$A442)+1,0)</f>
        <v>0</v>
      </c>
      <c r="XDG443" s="6" t="str">
        <f ca="1">IF(XDH443=0,"",COUNTIF(A$1:$A443,"&gt;0"))</f>
        <v/>
      </c>
      <c r="XDH443" s="6">
        <f ca="1">IFERROR(SEARCH(INDIRECT(CELL("address")),B:B),0)</f>
        <v>0</v>
      </c>
      <c r="XDI443" s="6" t="str">
        <f ca="1">IFERROR(INDEX(Table_Projects_17[],MATCH(ROW(XDH442),XDG$2:XDG$1048576,0),1),"")</f>
        <v/>
      </c>
    </row>
    <row r="444" spans="1:1 16335:16337" x14ac:dyDescent="0.25">
      <c r="A444" s="5">
        <f ca="1">IF(ISNUMBER(SEARCH(INDIRECT(CELL("address")),Platforma_metis)),MAX(A$1:$A443)+1,0)</f>
        <v>0</v>
      </c>
      <c r="XDG444" s="6" t="str">
        <f ca="1">IF(XDH444=0,"",COUNTIF(A$1:$A444,"&gt;0"))</f>
        <v/>
      </c>
      <c r="XDH444" s="6">
        <f ca="1">IFERROR(SEARCH(INDIRECT(CELL("address")),B:B),0)</f>
        <v>0</v>
      </c>
      <c r="XDI444" s="6" t="str">
        <f ca="1">IFERROR(INDEX(Table_Projects_17[],MATCH(ROW(XDH443),XDG$2:XDG$1048576,0),1),"")</f>
        <v/>
      </c>
    </row>
    <row r="445" spans="1:1 16335:16337" x14ac:dyDescent="0.25">
      <c r="A445" s="5">
        <f ca="1">IF(ISNUMBER(SEARCH(INDIRECT(CELL("address")),Platforma_metis)),MAX(A$1:$A444)+1,0)</f>
        <v>0</v>
      </c>
      <c r="XDG445" s="6" t="str">
        <f ca="1">IF(XDH445=0,"",COUNTIF(A$1:$A445,"&gt;0"))</f>
        <v/>
      </c>
      <c r="XDH445" s="6">
        <f ca="1">IFERROR(SEARCH(INDIRECT(CELL("address")),B:B),0)</f>
        <v>0</v>
      </c>
      <c r="XDI445" s="6" t="str">
        <f ca="1">IFERROR(INDEX(Table_Projects_17[],MATCH(ROW(XDH444),XDG$2:XDG$1048576,0),1),"")</f>
        <v/>
      </c>
    </row>
    <row r="446" spans="1:1 16335:16337" x14ac:dyDescent="0.25">
      <c r="A446" s="5">
        <f ca="1">IF(ISNUMBER(SEARCH(INDIRECT(CELL("address")),Platforma_metis)),MAX(A$1:$A445)+1,0)</f>
        <v>0</v>
      </c>
      <c r="XDG446" s="6" t="str">
        <f ca="1">IF(XDH446=0,"",COUNTIF(A$1:$A446,"&gt;0"))</f>
        <v/>
      </c>
      <c r="XDH446" s="6">
        <f ca="1">IFERROR(SEARCH(INDIRECT(CELL("address")),B:B),0)</f>
        <v>0</v>
      </c>
      <c r="XDI446" s="6" t="str">
        <f ca="1">IFERROR(INDEX(Table_Projects_17[],MATCH(ROW(XDH445),XDG$2:XDG$1048576,0),1),"")</f>
        <v/>
      </c>
    </row>
    <row r="447" spans="1:1 16335:16337" x14ac:dyDescent="0.25">
      <c r="A447" s="5">
        <f ca="1">IF(ISNUMBER(SEARCH(INDIRECT(CELL("address")),Platforma_metis)),MAX(A$1:$A446)+1,0)</f>
        <v>0</v>
      </c>
      <c r="XDG447" s="6" t="str">
        <f ca="1">IF(XDH447=0,"",COUNTIF(A$1:$A447,"&gt;0"))</f>
        <v/>
      </c>
      <c r="XDH447" s="6">
        <f ca="1">IFERROR(SEARCH(INDIRECT(CELL("address")),B:B),0)</f>
        <v>0</v>
      </c>
      <c r="XDI447" s="6" t="str">
        <f ca="1">IFERROR(INDEX(Table_Projects_17[],MATCH(ROW(XDH446),XDG$2:XDG$1048576,0),1),"")</f>
        <v/>
      </c>
    </row>
    <row r="448" spans="1:1 16335:16337" x14ac:dyDescent="0.25">
      <c r="A448" s="5">
        <f ca="1">IF(ISNUMBER(SEARCH(INDIRECT(CELL("address")),Platforma_metis)),MAX(A$1:$A447)+1,0)</f>
        <v>0</v>
      </c>
      <c r="XDG448" s="6" t="str">
        <f ca="1">IF(XDH448=0,"",COUNTIF(A$1:$A448,"&gt;0"))</f>
        <v/>
      </c>
      <c r="XDH448" s="6">
        <f ca="1">IFERROR(SEARCH(INDIRECT(CELL("address")),B:B),0)</f>
        <v>0</v>
      </c>
      <c r="XDI448" s="6" t="str">
        <f ca="1">IFERROR(INDEX(Table_Projects_17[],MATCH(ROW(XDH447),XDG$2:XDG$1048576,0),1),"")</f>
        <v/>
      </c>
    </row>
    <row r="449" spans="1:1 16335:16337" x14ac:dyDescent="0.25">
      <c r="A449" s="5">
        <f ca="1">IF(ISNUMBER(SEARCH(INDIRECT(CELL("address")),Platforma_metis)),MAX(A$1:$A448)+1,0)</f>
        <v>0</v>
      </c>
      <c r="XDG449" s="6" t="str">
        <f ca="1">IF(XDH449=0,"",COUNTIF(A$1:$A449,"&gt;0"))</f>
        <v/>
      </c>
      <c r="XDH449" s="6">
        <f ca="1">IFERROR(SEARCH(INDIRECT(CELL("address")),B:B),0)</f>
        <v>0</v>
      </c>
      <c r="XDI449" s="6" t="str">
        <f ca="1">IFERROR(INDEX(Table_Projects_17[],MATCH(ROW(XDH448),XDG$2:XDG$1048576,0),1),"")</f>
        <v/>
      </c>
    </row>
    <row r="450" spans="1:1 16335:16337" x14ac:dyDescent="0.25">
      <c r="A450" s="5">
        <f ca="1">IF(ISNUMBER(SEARCH(INDIRECT(CELL("address")),Platforma_metis)),MAX(A$1:$A449)+1,0)</f>
        <v>0</v>
      </c>
      <c r="XDG450" s="6" t="str">
        <f ca="1">IF(XDH450=0,"",COUNTIF(A$1:$A450,"&gt;0"))</f>
        <v/>
      </c>
      <c r="XDH450" s="6">
        <f ca="1">IFERROR(SEARCH(INDIRECT(CELL("address")),B:B),0)</f>
        <v>0</v>
      </c>
      <c r="XDI450" s="6" t="str">
        <f ca="1">IFERROR(INDEX(Table_Projects_17[],MATCH(ROW(XDH449),XDG$2:XDG$1048576,0),1),"")</f>
        <v/>
      </c>
    </row>
    <row r="451" spans="1:1 16335:16337" x14ac:dyDescent="0.25">
      <c r="A451" s="5">
        <f ca="1">IF(ISNUMBER(SEARCH(INDIRECT(CELL("address")),Platforma_metis)),MAX(A$1:$A450)+1,0)</f>
        <v>0</v>
      </c>
      <c r="XDG451" s="6" t="str">
        <f ca="1">IF(XDH451=0,"",COUNTIF(A$1:$A451,"&gt;0"))</f>
        <v/>
      </c>
      <c r="XDH451" s="6">
        <f ca="1">IFERROR(SEARCH(INDIRECT(CELL("address")),B:B),0)</f>
        <v>0</v>
      </c>
      <c r="XDI451" s="6" t="str">
        <f ca="1">IFERROR(INDEX(Table_Projects_17[],MATCH(ROW(XDH450),XDG$2:XDG$1048576,0),1),"")</f>
        <v/>
      </c>
    </row>
    <row r="452" spans="1:1 16335:16337" x14ac:dyDescent="0.25">
      <c r="A452" s="5">
        <f ca="1">IF(ISNUMBER(SEARCH(INDIRECT(CELL("address")),Platforma_metis)),MAX(A$1:$A451)+1,0)</f>
        <v>0</v>
      </c>
      <c r="XDG452" s="6" t="str">
        <f ca="1">IF(XDH452=0,"",COUNTIF(A$1:$A452,"&gt;0"))</f>
        <v/>
      </c>
      <c r="XDH452" s="6">
        <f ca="1">IFERROR(SEARCH(INDIRECT(CELL("address")),B:B),0)</f>
        <v>0</v>
      </c>
      <c r="XDI452" s="6" t="str">
        <f ca="1">IFERROR(INDEX(Table_Projects_17[],MATCH(ROW(XDH451),XDG$2:XDG$1048576,0),1),"")</f>
        <v/>
      </c>
    </row>
    <row r="453" spans="1:1 16335:16337" x14ac:dyDescent="0.25">
      <c r="A453" s="5">
        <f ca="1">IF(ISNUMBER(SEARCH(INDIRECT(CELL("address")),Platforma_metis)),MAX(A$1:$A452)+1,0)</f>
        <v>0</v>
      </c>
      <c r="XDG453" s="6" t="str">
        <f ca="1">IF(XDH453=0,"",COUNTIF(A$1:$A453,"&gt;0"))</f>
        <v/>
      </c>
      <c r="XDH453" s="6">
        <f ca="1">IFERROR(SEARCH(INDIRECT(CELL("address")),#REF!),0)</f>
        <v>0</v>
      </c>
      <c r="XDI453" s="6" t="str">
        <f ca="1">IFERROR(INDEX(Table_Projects_17[],MATCH(ROW(XDH452),XDG$2:XDG$1048576,0),1),"")</f>
        <v/>
      </c>
    </row>
    <row r="454" spans="1:1 16335:16337" x14ac:dyDescent="0.25">
      <c r="A454" s="5">
        <f ca="1">IF(ISNUMBER(SEARCH(INDIRECT(CELL("address")),Platforma_metis)),MAX(A$1:$A453)+1,0)</f>
        <v>0</v>
      </c>
      <c r="XDG454" s="6" t="str">
        <f ca="1">IF(XDH454=0,"",COUNTIF(A$1:$A454,"&gt;0"))</f>
        <v/>
      </c>
      <c r="XDH454" s="6">
        <f ca="1">IFERROR(SEARCH(INDIRECT(CELL("address")),#REF!),0)</f>
        <v>0</v>
      </c>
      <c r="XDI454" s="6" t="str">
        <f ca="1">IFERROR(INDEX(Table_Projects_17[],MATCH(ROW(XDH453),XDG$2:XDG$1048576,0),1),"")</f>
        <v/>
      </c>
    </row>
    <row r="455" spans="1:1 16335:16337" x14ac:dyDescent="0.25">
      <c r="A455" s="5">
        <f ca="1">IF(ISNUMBER(SEARCH(INDIRECT(CELL("address")),Platforma_metis)),MAX(A$1:$A454)+1,0)</f>
        <v>0</v>
      </c>
      <c r="XDG455" s="6" t="str">
        <f ca="1">IF(XDH455=0,"",COUNTIF(A$1:$A455,"&gt;0"))</f>
        <v/>
      </c>
      <c r="XDH455" s="6">
        <f ca="1">IFERROR(SEARCH(INDIRECT(CELL("address")),#REF!),0)</f>
        <v>0</v>
      </c>
      <c r="XDI455" s="6" t="str">
        <f ca="1">IFERROR(INDEX(Table_Projects_17[],MATCH(ROW(XDH454),XDG$2:XDG$1048576,0),1),"")</f>
        <v/>
      </c>
    </row>
    <row r="456" spans="1:1 16335:16337" x14ac:dyDescent="0.25">
      <c r="A456" s="5">
        <f ca="1">IF(ISNUMBER(SEARCH(INDIRECT(CELL("address")),Platforma_metis)),MAX(A$1:$A455)+1,0)</f>
        <v>0</v>
      </c>
      <c r="XDG456" s="6" t="str">
        <f ca="1">IF(XDH456=0,"",COUNTIF(A$1:$A456,"&gt;0"))</f>
        <v/>
      </c>
      <c r="XDH456" s="6">
        <f ca="1">IFERROR(SEARCH(INDIRECT(CELL("address")),#REF!),0)</f>
        <v>0</v>
      </c>
      <c r="XDI456" s="6" t="str">
        <f ca="1">IFERROR(INDEX(Table_Projects_17[],MATCH(ROW(XDH455),XDG$2:XDG$1048576,0),1),"")</f>
        <v/>
      </c>
    </row>
    <row r="457" spans="1:1 16335:16337" x14ac:dyDescent="0.25">
      <c r="A457" s="5">
        <f ca="1">IF(ISNUMBER(SEARCH(INDIRECT(CELL("address")),Platforma_metis)),MAX(A$1:$A456)+1,0)</f>
        <v>0</v>
      </c>
      <c r="XDG457" s="6" t="str">
        <f ca="1">IF(XDH457=0,"",COUNTIF(A$1:$A457,"&gt;0"))</f>
        <v/>
      </c>
      <c r="XDH457" s="6">
        <f ca="1">IFERROR(SEARCH(INDIRECT(CELL("address")),#REF!),0)</f>
        <v>0</v>
      </c>
      <c r="XDI457" s="6" t="str">
        <f ca="1">IFERROR(INDEX(Table_Projects_17[],MATCH(ROW(XDH456),XDG$2:XDG$1048576,0),1),"")</f>
        <v/>
      </c>
    </row>
    <row r="458" spans="1:1 16335:16337" x14ac:dyDescent="0.25">
      <c r="A458" s="5">
        <f ca="1">IF(ISNUMBER(SEARCH(INDIRECT(CELL("address")),Platforma_metis)),MAX(A$1:$A457)+1,0)</f>
        <v>0</v>
      </c>
      <c r="XDG458" s="6" t="str">
        <f ca="1">IF(XDH458=0,"",COUNTIF(A$1:$A458,"&gt;0"))</f>
        <v/>
      </c>
      <c r="XDH458" s="6">
        <f ca="1">IFERROR(SEARCH(INDIRECT(CELL("address")),#REF!),0)</f>
        <v>0</v>
      </c>
      <c r="XDI458" s="6" t="str">
        <f ca="1">IFERROR(INDEX(Table_Projects_17[],MATCH(ROW(XDH457),XDG$2:XDG$1048576,0),1),"")</f>
        <v/>
      </c>
    </row>
    <row r="459" spans="1:1 16335:16337" x14ac:dyDescent="0.25">
      <c r="A459" s="5">
        <f ca="1">IF(ISNUMBER(SEARCH(INDIRECT(CELL("address")),Platforma_metis)),MAX(A$1:$A458)+1,0)</f>
        <v>0</v>
      </c>
      <c r="XDG459" s="6" t="str">
        <f ca="1">IF(XDH459=0,"",COUNTIF(A$1:$A459,"&gt;0"))</f>
        <v/>
      </c>
      <c r="XDH459" s="6">
        <f ca="1">IFERROR(SEARCH(INDIRECT(CELL("address")),#REF!),0)</f>
        <v>0</v>
      </c>
      <c r="XDI459" s="6" t="str">
        <f ca="1">IFERROR(INDEX(Table_Projects_17[],MATCH(ROW(XDH458),XDG$2:XDG$1048576,0),1),"")</f>
        <v/>
      </c>
    </row>
    <row r="460" spans="1:1 16335:16337" x14ac:dyDescent="0.25">
      <c r="A460" s="5">
        <f ca="1">IF(ISNUMBER(SEARCH(INDIRECT(CELL("address")),Platforma_metis)),MAX(A$1:$A459)+1,0)</f>
        <v>0</v>
      </c>
      <c r="XDG460" s="6" t="str">
        <f ca="1">IF(XDH460=0,"",COUNTIF(A$1:$A460,"&gt;0"))</f>
        <v/>
      </c>
      <c r="XDH460" s="6">
        <f ca="1">IFERROR(SEARCH(INDIRECT(CELL("address")),#REF!),0)</f>
        <v>0</v>
      </c>
      <c r="XDI460" s="6" t="str">
        <f ca="1">IFERROR(INDEX(Table_Projects_17[],MATCH(ROW(XDH459),XDG$2:XDG$1048576,0),1),"")</f>
        <v/>
      </c>
    </row>
    <row r="461" spans="1:1 16335:16337" x14ac:dyDescent="0.25">
      <c r="A461" s="5">
        <f ca="1">IF(ISNUMBER(SEARCH(INDIRECT(CELL("address")),Platforma_metis)),MAX(A$1:$A460)+1,0)</f>
        <v>0</v>
      </c>
      <c r="XDG461" s="6" t="str">
        <f ca="1">IF(XDH461=0,"",COUNTIF(A$1:$A461,"&gt;0"))</f>
        <v/>
      </c>
      <c r="XDH461" s="6">
        <f ca="1">IFERROR(SEARCH(INDIRECT(CELL("address")),#REF!),0)</f>
        <v>0</v>
      </c>
      <c r="XDI461" s="6" t="str">
        <f ca="1">IFERROR(INDEX(Table_Projects_17[],MATCH(ROW(XDH460),XDG$2:XDG$1048576,0),1),"")</f>
        <v/>
      </c>
    </row>
    <row r="462" spans="1:1 16335:16337" x14ac:dyDescent="0.25">
      <c r="A462" s="5">
        <f ca="1">IF(ISNUMBER(SEARCH(INDIRECT(CELL("address")),Platforma_metis)),MAX(A$1:$A461)+1,0)</f>
        <v>0</v>
      </c>
      <c r="XDG462" s="6" t="str">
        <f ca="1">IF(XDH462=0,"",COUNTIF(A$1:$A462,"&gt;0"))</f>
        <v/>
      </c>
      <c r="XDH462" s="6">
        <f ca="1">IFERROR(SEARCH(INDIRECT(CELL("address")),#REF!),0)</f>
        <v>0</v>
      </c>
      <c r="XDI462" s="6" t="str">
        <f ca="1">IFERROR(INDEX(Table_Projects_17[],MATCH(ROW(XDH461),XDG$2:XDG$1048576,0),1),"")</f>
        <v/>
      </c>
    </row>
    <row r="463" spans="1:1 16335:16337" x14ac:dyDescent="0.25">
      <c r="A463" s="5">
        <f ca="1">IF(ISNUMBER(SEARCH(INDIRECT(CELL("address")),Platforma_metis)),MAX(A$1:$A462)+1,0)</f>
        <v>0</v>
      </c>
      <c r="XDG463" s="6" t="str">
        <f ca="1">IF(XDH463=0,"",COUNTIF(A$1:$A463,"&gt;0"))</f>
        <v/>
      </c>
      <c r="XDH463" s="6">
        <f ca="1">IFERROR(SEARCH(INDIRECT(CELL("address")),#REF!),0)</f>
        <v>0</v>
      </c>
      <c r="XDI463" s="6" t="str">
        <f ca="1">IFERROR(INDEX(Table_Projects_17[],MATCH(ROW(XDH462),XDG$2:XDG$1048576,0),1),"")</f>
        <v/>
      </c>
    </row>
    <row r="464" spans="1:1 16335:16337" x14ac:dyDescent="0.25">
      <c r="A464" s="5">
        <f ca="1">IF(ISNUMBER(SEARCH(INDIRECT(CELL("address")),Platforma_metis)),MAX(A$1:$A463)+1,0)</f>
        <v>0</v>
      </c>
      <c r="XDG464" s="6" t="str">
        <f ca="1">IF(XDH464=0,"",COUNTIF(A$1:$A464,"&gt;0"))</f>
        <v/>
      </c>
      <c r="XDH464" s="6">
        <f ca="1">IFERROR(SEARCH(INDIRECT(CELL("address")),#REF!),0)</f>
        <v>0</v>
      </c>
      <c r="XDI464" s="6" t="str">
        <f ca="1">IFERROR(INDEX(Table_Projects_17[],MATCH(ROW(XDH463),XDG$2:XDG$1048576,0),1),"")</f>
        <v/>
      </c>
    </row>
    <row r="465" spans="1:1 16335:16337" x14ac:dyDescent="0.25">
      <c r="A465" s="5">
        <f ca="1">IF(ISNUMBER(SEARCH(INDIRECT(CELL("address")),Platforma_metis)),MAX(A$1:$A464)+1,0)</f>
        <v>0</v>
      </c>
      <c r="XDG465" s="6" t="str">
        <f ca="1">IF(XDH465=0,"",COUNTIF(A$1:$A465,"&gt;0"))</f>
        <v/>
      </c>
      <c r="XDH465" s="6">
        <f ca="1">IFERROR(SEARCH(INDIRECT(CELL("address")),#REF!),0)</f>
        <v>0</v>
      </c>
      <c r="XDI465" s="6" t="str">
        <f ca="1">IFERROR(INDEX(Table_Projects_17[],MATCH(ROW(XDH464),XDG$2:XDG$1048576,0),1),"")</f>
        <v/>
      </c>
    </row>
    <row r="466" spans="1:1 16335:16337" x14ac:dyDescent="0.25">
      <c r="A466" s="5">
        <f ca="1">IF(ISNUMBER(SEARCH(INDIRECT(CELL("address")),Platforma_metis)),MAX(A$1:$A465)+1,0)</f>
        <v>0</v>
      </c>
      <c r="XDG466" s="6" t="str">
        <f ca="1">IF(XDH466=0,"",COUNTIF(A$1:$A466,"&gt;0"))</f>
        <v/>
      </c>
      <c r="XDH466" s="6">
        <f ca="1">IFERROR(SEARCH(INDIRECT(CELL("address")),#REF!),0)</f>
        <v>0</v>
      </c>
      <c r="XDI466" s="6" t="str">
        <f ca="1">IFERROR(INDEX(Table_Projects_17[],MATCH(ROW(XDH465),XDG$2:XDG$1048576,0),1),"")</f>
        <v/>
      </c>
    </row>
    <row r="467" spans="1:1 16335:16337" x14ac:dyDescent="0.25">
      <c r="A467" s="5">
        <f ca="1">IF(ISNUMBER(SEARCH(INDIRECT(CELL("address")),Platforma_metis)),MAX(A$1:$A466)+1,0)</f>
        <v>0</v>
      </c>
      <c r="XDG467" s="6" t="str">
        <f ca="1">IF(XDH467=0,"",COUNTIF(A$1:$A467,"&gt;0"))</f>
        <v/>
      </c>
      <c r="XDH467" s="6">
        <f ca="1">IFERROR(SEARCH(INDIRECT(CELL("address")),#REF!),0)</f>
        <v>0</v>
      </c>
      <c r="XDI467" s="6" t="str">
        <f ca="1">IFERROR(INDEX(Table_Projects_17[],MATCH(ROW(XDH466),XDG$2:XDG$1048576,0),1),"")</f>
        <v/>
      </c>
    </row>
    <row r="468" spans="1:1 16335:16337" x14ac:dyDescent="0.25">
      <c r="A468" s="5">
        <f ca="1">IF(ISNUMBER(SEARCH(INDIRECT(CELL("address")),Platforma_metis)),MAX(A$1:$A467)+1,0)</f>
        <v>0</v>
      </c>
      <c r="XDG468" s="6" t="str">
        <f ca="1">IF(XDH468=0,"",COUNTIF(A$1:$A468,"&gt;0"))</f>
        <v/>
      </c>
      <c r="XDH468" s="6">
        <f ca="1">IFERROR(SEARCH(INDIRECT(CELL("address")),#REF!),0)</f>
        <v>0</v>
      </c>
      <c r="XDI468" s="6" t="str">
        <f ca="1">IFERROR(INDEX(Table_Projects_17[],MATCH(ROW(XDH467),XDG$2:XDG$1048576,0),1),"")</f>
        <v/>
      </c>
    </row>
    <row r="469" spans="1:1 16335:16337" x14ac:dyDescent="0.25">
      <c r="A469" s="5">
        <f ca="1">IF(ISNUMBER(SEARCH(INDIRECT(CELL("address")),Platforma_metis)),MAX(A$1:$A468)+1,0)</f>
        <v>0</v>
      </c>
      <c r="XDG469" s="6" t="str">
        <f ca="1">IF(XDH469=0,"",COUNTIF(A$1:$A469,"&gt;0"))</f>
        <v/>
      </c>
      <c r="XDH469" s="6">
        <f ca="1">IFERROR(SEARCH(INDIRECT(CELL("address")),#REF!),0)</f>
        <v>0</v>
      </c>
      <c r="XDI469" s="6" t="str">
        <f ca="1">IFERROR(INDEX(Table_Projects_17[],MATCH(ROW(XDH468),XDG$2:XDG$1048576,0),1),"")</f>
        <v/>
      </c>
    </row>
    <row r="470" spans="1:1 16335:16337" x14ac:dyDescent="0.25">
      <c r="A470" s="5">
        <f ca="1">IF(ISNUMBER(SEARCH(INDIRECT(CELL("address")),Platforma_metis)),MAX(A$1:$A469)+1,0)</f>
        <v>0</v>
      </c>
      <c r="XDG470" s="6" t="str">
        <f ca="1">IF(XDH470=0,"",COUNTIF(A$1:$A470,"&gt;0"))</f>
        <v/>
      </c>
      <c r="XDH470" s="6">
        <f ca="1">IFERROR(SEARCH(INDIRECT(CELL("address")),#REF!),0)</f>
        <v>0</v>
      </c>
      <c r="XDI470" s="6" t="str">
        <f ca="1">IFERROR(INDEX(Table_Projects_17[],MATCH(ROW(XDH469),XDG$2:XDG$1048576,0),1),"")</f>
        <v/>
      </c>
    </row>
    <row r="471" spans="1:1 16335:16337" x14ac:dyDescent="0.25">
      <c r="A471" s="5">
        <f ca="1">IF(ISNUMBER(SEARCH(INDIRECT(CELL("address")),Platforma_metis)),MAX(A$1:$A470)+1,0)</f>
        <v>0</v>
      </c>
      <c r="XDG471" s="6" t="str">
        <f ca="1">IF(XDH471=0,"",COUNTIF(A$1:$A471,"&gt;0"))</f>
        <v/>
      </c>
      <c r="XDH471" s="6">
        <f ca="1">IFERROR(SEARCH(INDIRECT(CELL("address")),#REF!),0)</f>
        <v>0</v>
      </c>
      <c r="XDI471" s="6" t="str">
        <f ca="1">IFERROR(INDEX(Table_Projects_17[],MATCH(ROW(XDH470),XDG$2:XDG$1048576,0),1),"")</f>
        <v/>
      </c>
    </row>
    <row r="472" spans="1:1 16335:16337" x14ac:dyDescent="0.25">
      <c r="A472" s="5">
        <f ca="1">IF(ISNUMBER(SEARCH(INDIRECT(CELL("address")),Platforma_metis)),MAX(A$1:$A471)+1,0)</f>
        <v>0</v>
      </c>
      <c r="XDG472" s="6" t="str">
        <f ca="1">IF(XDH472=0,"",COUNTIF(A$1:$A472,"&gt;0"))</f>
        <v/>
      </c>
      <c r="XDH472" s="6">
        <f ca="1">IFERROR(SEARCH(INDIRECT(CELL("address")),#REF!),0)</f>
        <v>0</v>
      </c>
      <c r="XDI472" s="6" t="str">
        <f ca="1">IFERROR(INDEX(Table_Projects_17[],MATCH(ROW(XDH471),XDG$2:XDG$1048576,0),1),"")</f>
        <v/>
      </c>
    </row>
    <row r="473" spans="1:1 16335:16337" x14ac:dyDescent="0.25">
      <c r="A473" s="5">
        <f ca="1">IF(ISNUMBER(SEARCH(INDIRECT(CELL("address")),Platforma_metis)),MAX(A$1:$A472)+1,0)</f>
        <v>0</v>
      </c>
      <c r="XDG473" s="6" t="str">
        <f ca="1">IF(XDH473=0,"",COUNTIF(A$1:$A473,"&gt;0"))</f>
        <v/>
      </c>
      <c r="XDH473" s="6">
        <f ca="1">IFERROR(SEARCH(INDIRECT(CELL("address")),#REF!),0)</f>
        <v>0</v>
      </c>
      <c r="XDI473" s="6" t="str">
        <f ca="1">IFERROR(INDEX(Table_Projects_17[],MATCH(ROW(XDH472),XDG$2:XDG$1048576,0),1),"")</f>
        <v/>
      </c>
    </row>
    <row r="474" spans="1:1 16335:16337" x14ac:dyDescent="0.25">
      <c r="A474" s="5">
        <f ca="1">IF(ISNUMBER(SEARCH(INDIRECT(CELL("address")),Platforma_metis)),MAX(A$1:$A473)+1,0)</f>
        <v>0</v>
      </c>
      <c r="XDG474" s="6" t="str">
        <f ca="1">IF(XDH474=0,"",COUNTIF(A$1:$A474,"&gt;0"))</f>
        <v/>
      </c>
      <c r="XDH474" s="6">
        <f ca="1">IFERROR(SEARCH(INDIRECT(CELL("address")),#REF!),0)</f>
        <v>0</v>
      </c>
      <c r="XDI474" s="6" t="str">
        <f ca="1">IFERROR(INDEX(Table_Projects_17[],MATCH(ROW(XDH473),XDG$2:XDG$1048576,0),1),"")</f>
        <v/>
      </c>
    </row>
    <row r="475" spans="1:1 16335:16337" x14ac:dyDescent="0.25">
      <c r="A475" s="5">
        <f ca="1">IF(ISNUMBER(SEARCH(INDIRECT(CELL("address")),Platforma_metis)),MAX(A$1:$A474)+1,0)</f>
        <v>0</v>
      </c>
      <c r="XDG475" s="6" t="str">
        <f ca="1">IF(XDH475=0,"",COUNTIF(A$1:$A475,"&gt;0"))</f>
        <v/>
      </c>
      <c r="XDH475" s="6">
        <f ca="1">IFERROR(SEARCH(INDIRECT(CELL("address")),#REF!),0)</f>
        <v>0</v>
      </c>
      <c r="XDI475" s="6" t="str">
        <f ca="1">IFERROR(INDEX(Table_Projects_17[],MATCH(ROW(XDH474),XDG$2:XDG$1048576,0),1),"")</f>
        <v/>
      </c>
    </row>
    <row r="476" spans="1:1 16335:16337" x14ac:dyDescent="0.25">
      <c r="A476" s="5">
        <f ca="1">IF(ISNUMBER(SEARCH(INDIRECT(CELL("address")),Platforma_metis)),MAX(A$1:$A475)+1,0)</f>
        <v>0</v>
      </c>
      <c r="XDG476" s="6" t="str">
        <f ca="1">IF(XDH476=0,"",COUNTIF(A$1:$A476,"&gt;0"))</f>
        <v/>
      </c>
      <c r="XDH476" s="6">
        <f ca="1">IFERROR(SEARCH(INDIRECT(CELL("address")),#REF!),0)</f>
        <v>0</v>
      </c>
      <c r="XDI476" s="6" t="str">
        <f ca="1">IFERROR(INDEX(Table_Projects_17[],MATCH(ROW(XDH475),XDG$2:XDG$1048576,0),1),"")</f>
        <v/>
      </c>
    </row>
    <row r="477" spans="1:1 16335:16337" x14ac:dyDescent="0.25">
      <c r="A477" s="5">
        <f ca="1">IF(ISNUMBER(SEARCH(INDIRECT(CELL("address")),Platforma_metis)),MAX(A$1:$A476)+1,0)</f>
        <v>0</v>
      </c>
      <c r="XDG477" s="6" t="str">
        <f ca="1">IF(XDH477=0,"",COUNTIF(A$1:$A477,"&gt;0"))</f>
        <v/>
      </c>
      <c r="XDH477" s="6">
        <f ca="1">IFERROR(SEARCH(INDIRECT(CELL("address")),#REF!),0)</f>
        <v>0</v>
      </c>
      <c r="XDI477" s="6" t="str">
        <f ca="1">IFERROR(INDEX(Table_Projects_17[],MATCH(ROW(XDH476),XDG$2:XDG$1048576,0),1),"")</f>
        <v/>
      </c>
    </row>
    <row r="478" spans="1:1 16335:16337" x14ac:dyDescent="0.25">
      <c r="A478" s="5">
        <f ca="1">IF(ISNUMBER(SEARCH(INDIRECT(CELL("address")),Platforma_metis)),MAX(A$1:$A477)+1,0)</f>
        <v>0</v>
      </c>
      <c r="XDG478" s="6" t="str">
        <f ca="1">IF(XDH478=0,"",COUNTIF(A$1:$A478,"&gt;0"))</f>
        <v/>
      </c>
      <c r="XDH478" s="6">
        <f ca="1">IFERROR(SEARCH(INDIRECT(CELL("address")),#REF!),0)</f>
        <v>0</v>
      </c>
      <c r="XDI478" s="6" t="str">
        <f ca="1">IFERROR(INDEX(Table_Projects_17[],MATCH(ROW(XDH477),XDG$2:XDG$1048576,0),1),"")</f>
        <v/>
      </c>
    </row>
    <row r="479" spans="1:1 16335:16337" x14ac:dyDescent="0.25">
      <c r="A479" s="5">
        <f ca="1">IF(ISNUMBER(SEARCH(INDIRECT(CELL("address")),Platforma_metis)),MAX(A$1:$A478)+1,0)</f>
        <v>0</v>
      </c>
      <c r="XDG479" s="6" t="str">
        <f ca="1">IF(XDH479=0,"",COUNTIF(A$1:$A479,"&gt;0"))</f>
        <v/>
      </c>
      <c r="XDH479" s="6">
        <f ca="1">IFERROR(SEARCH(INDIRECT(CELL("address")),#REF!),0)</f>
        <v>0</v>
      </c>
      <c r="XDI479" s="6" t="str">
        <f ca="1">IFERROR(INDEX(Table_Projects_17[],MATCH(ROW(XDH478),XDG$2:XDG$1048576,0),1),"")</f>
        <v/>
      </c>
    </row>
    <row r="480" spans="1:1 16335:16337" x14ac:dyDescent="0.25">
      <c r="A480" s="5">
        <f ca="1">IF(ISNUMBER(SEARCH(INDIRECT(CELL("address")),Platforma_metis)),MAX(A$1:$A479)+1,0)</f>
        <v>0</v>
      </c>
      <c r="XDG480" s="6" t="str">
        <f ca="1">IF(XDH480=0,"",COUNTIF(A$1:$A480,"&gt;0"))</f>
        <v/>
      </c>
      <c r="XDH480" s="6">
        <f ca="1">IFERROR(SEARCH(INDIRECT(CELL("address")),#REF!),0)</f>
        <v>0</v>
      </c>
      <c r="XDI480" s="6" t="str">
        <f ca="1">IFERROR(INDEX(Table_Projects_17[],MATCH(ROW(XDH479),XDG$2:XDG$1048576,0),1),"")</f>
        <v/>
      </c>
    </row>
    <row r="481" spans="1:1 16335:16337" x14ac:dyDescent="0.25">
      <c r="A481" s="5">
        <f ca="1">IF(ISNUMBER(SEARCH(INDIRECT(CELL("address")),Platforma_metis)),MAX(A$1:$A480)+1,0)</f>
        <v>0</v>
      </c>
      <c r="XDG481" s="6" t="str">
        <f ca="1">IF(XDH481=0,"",COUNTIF(A$1:$A481,"&gt;0"))</f>
        <v/>
      </c>
      <c r="XDH481" s="6">
        <f ca="1">IFERROR(SEARCH(INDIRECT(CELL("address")),#REF!),0)</f>
        <v>0</v>
      </c>
      <c r="XDI481" s="6" t="str">
        <f ca="1">IFERROR(INDEX(Table_Projects_17[],MATCH(ROW(XDH480),XDG$2:XDG$1048576,0),1),"")</f>
        <v/>
      </c>
    </row>
    <row r="482" spans="1:1 16335:16337" x14ac:dyDescent="0.25">
      <c r="A482" s="5">
        <f ca="1">IF(ISNUMBER(SEARCH(INDIRECT(CELL("address")),Platforma_metis)),MAX(A$1:$A481)+1,0)</f>
        <v>0</v>
      </c>
      <c r="XDG482" s="6" t="str">
        <f ca="1">IF(XDH482=0,"",COUNTIF(A$1:$A482,"&gt;0"))</f>
        <v/>
      </c>
      <c r="XDH482" s="6">
        <f ca="1">IFERROR(SEARCH(INDIRECT(CELL("address")),#REF!),0)</f>
        <v>0</v>
      </c>
      <c r="XDI482" s="6" t="str">
        <f ca="1">IFERROR(INDEX(Table_Projects_17[],MATCH(ROW(XDH481),XDG$2:XDG$1048576,0),1),"")</f>
        <v/>
      </c>
    </row>
    <row r="483" spans="1:1 16335:16337" x14ac:dyDescent="0.25">
      <c r="A483" s="5">
        <f ca="1">IF(ISNUMBER(SEARCH(INDIRECT(CELL("address")),Platforma_metis)),MAX(A$1:$A482)+1,0)</f>
        <v>0</v>
      </c>
      <c r="XDG483" s="6" t="str">
        <f ca="1">IF(XDH483=0,"",COUNTIF(A$1:$A483,"&gt;0"))</f>
        <v/>
      </c>
      <c r="XDH483" s="6">
        <f ca="1">IFERROR(SEARCH(INDIRECT(CELL("address")),#REF!),0)</f>
        <v>0</v>
      </c>
      <c r="XDI483" s="6" t="str">
        <f ca="1">IFERROR(INDEX(Table_Projects_17[],MATCH(ROW(XDH482),XDG$2:XDG$1048576,0),1),"")</f>
        <v/>
      </c>
    </row>
    <row r="484" spans="1:1 16335:16337" x14ac:dyDescent="0.25">
      <c r="A484" s="5">
        <f ca="1">IF(ISNUMBER(SEARCH(INDIRECT(CELL("address")),Platforma_metis)),MAX(A$1:$A483)+1,0)</f>
        <v>0</v>
      </c>
      <c r="XDG484" s="6" t="str">
        <f ca="1">IF(XDH484=0,"",COUNTIF(A$1:$A484,"&gt;0"))</f>
        <v/>
      </c>
      <c r="XDH484" s="6">
        <f ca="1">IFERROR(SEARCH(INDIRECT(CELL("address")),#REF!),0)</f>
        <v>0</v>
      </c>
      <c r="XDI484" s="6" t="str">
        <f ca="1">IFERROR(INDEX(Table_Projects_17[],MATCH(ROW(XDH483),XDG$2:XDG$1048576,0),1),"")</f>
        <v/>
      </c>
    </row>
    <row r="485" spans="1:1 16335:16337" x14ac:dyDescent="0.25">
      <c r="A485" s="5">
        <f ca="1">IF(ISNUMBER(SEARCH(INDIRECT(CELL("address")),Platforma_metis)),MAX(A$1:$A484)+1,0)</f>
        <v>0</v>
      </c>
      <c r="XDG485" s="6" t="str">
        <f ca="1">IF(XDH485=0,"",COUNTIF(A$1:$A485,"&gt;0"))</f>
        <v/>
      </c>
      <c r="XDH485" s="6">
        <f ca="1">IFERROR(SEARCH(INDIRECT(CELL("address")),#REF!),0)</f>
        <v>0</v>
      </c>
      <c r="XDI485" s="6" t="str">
        <f ca="1">IFERROR(INDEX(Table_Projects_17[],MATCH(ROW(XDH484),XDG$2:XDG$1048576,0),1),"")</f>
        <v/>
      </c>
    </row>
    <row r="486" spans="1:1 16335:16337" x14ac:dyDescent="0.25">
      <c r="A486" s="5">
        <f ca="1">IF(ISNUMBER(SEARCH(INDIRECT(CELL("address")),Platforma_metis)),MAX(A$1:$A485)+1,0)</f>
        <v>0</v>
      </c>
      <c r="XDG486" s="6" t="str">
        <f ca="1">IF(XDH486=0,"",COUNTIF(A$1:$A486,"&gt;0"))</f>
        <v/>
      </c>
      <c r="XDH486" s="6">
        <f ca="1">IFERROR(SEARCH(INDIRECT(CELL("address")),#REF!),0)</f>
        <v>0</v>
      </c>
      <c r="XDI486" s="6" t="str">
        <f ca="1">IFERROR(INDEX(Table_Projects_17[],MATCH(ROW(XDH485),XDG$2:XDG$1048576,0),1),"")</f>
        <v/>
      </c>
    </row>
    <row r="487" spans="1:1 16335:16337" x14ac:dyDescent="0.25">
      <c r="A487" s="5">
        <f ca="1">IF(ISNUMBER(SEARCH(INDIRECT(CELL("address")),Platforma_metis)),MAX(A$1:$A486)+1,0)</f>
        <v>0</v>
      </c>
      <c r="XDG487" s="6" t="str">
        <f ca="1">IF(XDH487=0,"",COUNTIF(A$1:$A487,"&gt;0"))</f>
        <v/>
      </c>
      <c r="XDH487" s="6">
        <f ca="1">IFERROR(SEARCH(INDIRECT(CELL("address")),#REF!),0)</f>
        <v>0</v>
      </c>
      <c r="XDI487" s="6" t="str">
        <f ca="1">IFERROR(INDEX(Table_Projects_17[],MATCH(ROW(XDH486),XDG$2:XDG$1048576,0),1),"")</f>
        <v/>
      </c>
    </row>
    <row r="488" spans="1:1 16335:16337" x14ac:dyDescent="0.25">
      <c r="A488" s="5">
        <f ca="1">IF(ISNUMBER(SEARCH(INDIRECT(CELL("address")),Platforma_metis)),MAX(A$1:$A487)+1,0)</f>
        <v>0</v>
      </c>
      <c r="XDG488" s="6" t="str">
        <f ca="1">IF(XDH488=0,"",COUNTIF(A$1:$A488,"&gt;0"))</f>
        <v/>
      </c>
      <c r="XDH488" s="6">
        <f ca="1">IFERROR(SEARCH(INDIRECT(CELL("address")),#REF!),0)</f>
        <v>0</v>
      </c>
      <c r="XDI488" s="6" t="str">
        <f ca="1">IFERROR(INDEX(Table_Projects_17[],MATCH(ROW(XDH487),XDG$2:XDG$1048576,0),1),"")</f>
        <v/>
      </c>
    </row>
    <row r="489" spans="1:1 16335:16337" x14ac:dyDescent="0.25">
      <c r="A489" s="5">
        <f ca="1">IF(ISNUMBER(SEARCH(INDIRECT(CELL("address")),Platforma_metis)),MAX(A$1:$A488)+1,0)</f>
        <v>0</v>
      </c>
      <c r="XDG489" s="6" t="str">
        <f ca="1">IF(XDH489=0,"",COUNTIF(A$1:$A489,"&gt;0"))</f>
        <v/>
      </c>
      <c r="XDH489" s="6">
        <f ca="1">IFERROR(SEARCH(INDIRECT(CELL("address")),#REF!),0)</f>
        <v>0</v>
      </c>
      <c r="XDI489" s="6" t="str">
        <f ca="1">IFERROR(INDEX(Table_Projects_17[],MATCH(ROW(XDH488),XDG$2:XDG$1048576,0),1),"")</f>
        <v/>
      </c>
    </row>
    <row r="490" spans="1:1 16335:16337" x14ac:dyDescent="0.25">
      <c r="A490" s="5">
        <f ca="1">IF(ISNUMBER(SEARCH(INDIRECT(CELL("address")),Platforma_metis)),MAX(A$1:$A489)+1,0)</f>
        <v>0</v>
      </c>
      <c r="XDG490" s="6" t="str">
        <f ca="1">IF(XDH490=0,"",COUNTIF(A$1:$A490,"&gt;0"))</f>
        <v/>
      </c>
      <c r="XDH490" s="6">
        <f ca="1">IFERROR(SEARCH(INDIRECT(CELL("address")),#REF!),0)</f>
        <v>0</v>
      </c>
      <c r="XDI490" s="6" t="str">
        <f ca="1">IFERROR(INDEX(Table_Projects_17[],MATCH(ROW(XDH489),XDG$2:XDG$1048576,0),1),"")</f>
        <v/>
      </c>
    </row>
    <row r="491" spans="1:1 16335:16337" x14ac:dyDescent="0.25">
      <c r="A491" s="5">
        <f ca="1">IF(ISNUMBER(SEARCH(INDIRECT(CELL("address")),Platforma_metis)),MAX(A$1:$A490)+1,0)</f>
        <v>0</v>
      </c>
      <c r="XDG491" s="6" t="str">
        <f ca="1">IF(XDH491=0,"",COUNTIF(A$1:$A491,"&gt;0"))</f>
        <v/>
      </c>
      <c r="XDH491" s="6">
        <f ca="1">IFERROR(SEARCH(INDIRECT(CELL("address")),#REF!),0)</f>
        <v>0</v>
      </c>
      <c r="XDI491" s="6" t="str">
        <f ca="1">IFERROR(INDEX(Table_Projects_17[],MATCH(ROW(XDH490),XDG$2:XDG$1048576,0),1),"")</f>
        <v/>
      </c>
    </row>
    <row r="492" spans="1:1 16335:16337" x14ac:dyDescent="0.25">
      <c r="A492" s="5">
        <f ca="1">IF(ISNUMBER(SEARCH(INDIRECT(CELL("address")),Platforma_metis)),MAX(A$1:$A491)+1,0)</f>
        <v>0</v>
      </c>
      <c r="XDG492" s="6" t="str">
        <f ca="1">IF(XDH492=0,"",COUNTIF(A$1:$A492,"&gt;0"))</f>
        <v/>
      </c>
      <c r="XDH492" s="6">
        <f ca="1">IFERROR(SEARCH(INDIRECT(CELL("address")),#REF!),0)</f>
        <v>0</v>
      </c>
      <c r="XDI492" s="6" t="str">
        <f ca="1">IFERROR(INDEX(Table_Projects_17[],MATCH(ROW(XDH491),XDG$2:XDG$1048576,0),1),"")</f>
        <v/>
      </c>
    </row>
    <row r="493" spans="1:1 16335:16337" x14ac:dyDescent="0.25">
      <c r="A493" s="5">
        <f ca="1">IF(ISNUMBER(SEARCH(INDIRECT(CELL("address")),Platforma_metis)),MAX(A$1:$A492)+1,0)</f>
        <v>0</v>
      </c>
      <c r="XDG493" s="6" t="str">
        <f ca="1">IF(XDH493=0,"",COUNTIF(A$1:$A493,"&gt;0"))</f>
        <v/>
      </c>
      <c r="XDH493" s="6">
        <f ca="1">IFERROR(SEARCH(INDIRECT(CELL("address")),#REF!),0)</f>
        <v>0</v>
      </c>
      <c r="XDI493" s="6" t="str">
        <f ca="1">IFERROR(INDEX(Table_Projects_17[],MATCH(ROW(XDH492),XDG$2:XDG$1048576,0),1),"")</f>
        <v/>
      </c>
    </row>
    <row r="494" spans="1:1 16335:16337" x14ac:dyDescent="0.25">
      <c r="A494" s="5">
        <f ca="1">IF(ISNUMBER(SEARCH(INDIRECT(CELL("address")),Platforma_metis)),MAX(A$1:$A493)+1,0)</f>
        <v>0</v>
      </c>
      <c r="XDG494" s="6" t="str">
        <f ca="1">IF(XDH494=0,"",COUNTIF(A$1:$A494,"&gt;0"))</f>
        <v/>
      </c>
      <c r="XDH494" s="6">
        <f ca="1">IFERROR(SEARCH(INDIRECT(CELL("address")),#REF!),0)</f>
        <v>0</v>
      </c>
      <c r="XDI494" s="6" t="str">
        <f ca="1">IFERROR(INDEX(Table_Projects_17[],MATCH(ROW(XDH493),XDG$2:XDG$1048576,0),1),"")</f>
        <v/>
      </c>
    </row>
    <row r="495" spans="1:1 16335:16337" x14ac:dyDescent="0.25">
      <c r="A495" s="5">
        <f ca="1">IF(ISNUMBER(SEARCH(INDIRECT(CELL("address")),Platforma_metis)),MAX(A$1:$A494)+1,0)</f>
        <v>0</v>
      </c>
      <c r="XDG495" s="6" t="str">
        <f ca="1">IF(XDH495=0,"",COUNTIF(A$1:$A495,"&gt;0"))</f>
        <v/>
      </c>
      <c r="XDH495" s="6">
        <f ca="1">IFERROR(SEARCH(INDIRECT(CELL("address")),#REF!),0)</f>
        <v>0</v>
      </c>
      <c r="XDI495" s="6" t="str">
        <f ca="1">IFERROR(INDEX(Table_Projects_17[],MATCH(ROW(XDH494),XDG$2:XDG$1048576,0),1),"")</f>
        <v/>
      </c>
    </row>
    <row r="496" spans="1:1 16335:16337" x14ac:dyDescent="0.25">
      <c r="A496" s="5">
        <f ca="1">IF(ISNUMBER(SEARCH(INDIRECT(CELL("address")),Platforma_metis)),MAX(A$1:$A495)+1,0)</f>
        <v>0</v>
      </c>
      <c r="XDG496" s="6" t="str">
        <f ca="1">IF(XDH496=0,"",COUNTIF(A$1:$A496,"&gt;0"))</f>
        <v/>
      </c>
      <c r="XDH496" s="6">
        <f ca="1">IFERROR(SEARCH(INDIRECT(CELL("address")),#REF!),0)</f>
        <v>0</v>
      </c>
      <c r="XDI496" s="6" t="str">
        <f ca="1">IFERROR(INDEX(Table_Projects_17[],MATCH(ROW(XDH495),XDG$2:XDG$1048576,0),1),"")</f>
        <v/>
      </c>
    </row>
    <row r="497" spans="1:1 16335:16343" x14ac:dyDescent="0.25">
      <c r="A497" s="5">
        <f ca="1">IF(ISNUMBER(SEARCH(INDIRECT(CELL("address")),Platforma_metis)),MAX(A$1:$A496)+1,0)</f>
        <v>0</v>
      </c>
      <c r="XDG497" s="6" t="str">
        <f ca="1">IF(XDH497=0,"",COUNTIF(A$1:$A497,"&gt;0"))</f>
        <v/>
      </c>
      <c r="XDH497" s="6">
        <f ca="1">IFERROR(SEARCH(INDIRECT(CELL("address")),#REF!),0)</f>
        <v>0</v>
      </c>
      <c r="XDI497" s="6" t="str">
        <f ca="1">IFERROR(INDEX(Table_Projects_17[],MATCH(ROW(XDH496),XDG$2:XDG$1048576,0),1),"")</f>
        <v/>
      </c>
    </row>
    <row r="498" spans="1:1 16335:16343" x14ac:dyDescent="0.25">
      <c r="A498" s="5">
        <f ca="1">IF(ISNUMBER(SEARCH(INDIRECT(CELL("address")),Platforma_metis)),MAX(A$1:$A497)+1,0)</f>
        <v>0</v>
      </c>
      <c r="XDG498" s="6" t="str">
        <f ca="1">IF(XDH498=0,"",COUNTIF(A$1:$A498,"&gt;0"))</f>
        <v/>
      </c>
      <c r="XDH498" s="6">
        <f ca="1">IFERROR(SEARCH(INDIRECT(CELL("address")),#REF!),0)</f>
        <v>0</v>
      </c>
      <c r="XDI498" s="6" t="str">
        <f ca="1">IFERROR(INDEX(Table_Projects_17[],MATCH(ROW(XDH497),XDG$2:XDG$1048576,0),1),"")</f>
        <v/>
      </c>
    </row>
    <row r="499" spans="1:1 16335:16343" x14ac:dyDescent="0.25">
      <c r="A499" s="5">
        <f ca="1">IF(ISNUMBER(SEARCH(INDIRECT(CELL("address")),Platforma_metis)),MAX(A$1:$A498)+1,0)</f>
        <v>0</v>
      </c>
      <c r="XDG499" s="6" t="str">
        <f ca="1">IF(XDH499=0,"",COUNTIF(A$1:$A499,"&gt;0"))</f>
        <v/>
      </c>
      <c r="XDH499" s="6">
        <f ca="1">IFERROR(SEARCH(INDIRECT(CELL("address")),#REF!),0)</f>
        <v>0</v>
      </c>
      <c r="XDI499" s="6" t="str">
        <f ca="1">IFERROR(INDEX(Table_Projects_17[],MATCH(ROW(XDH498),XDG$2:XDG$1048576,0),1),"")</f>
        <v/>
      </c>
    </row>
    <row r="500" spans="1:1 16335:16343" x14ac:dyDescent="0.25">
      <c r="A500" s="5">
        <f ca="1">IF(ISNUMBER(SEARCH(INDIRECT(CELL("address")),Platforma_metis)),MAX(A$1:$A499)+1,0)</f>
        <v>0</v>
      </c>
      <c r="XDG500" s="6" t="str">
        <f ca="1">IF(XDH500=0,"",COUNTIF(A$1:$A500,"&gt;0"))</f>
        <v/>
      </c>
      <c r="XDH500" s="6">
        <f ca="1">IFERROR(SEARCH(INDIRECT(CELL("address")),#REF!),0)</f>
        <v>0</v>
      </c>
      <c r="XDI500" s="6" t="str">
        <f ca="1">IFERROR(INDEX(Table_Projects_17[],MATCH(ROW(XDH499),XDG$2:XDG$1048576,0),1),"")</f>
        <v/>
      </c>
    </row>
    <row r="501" spans="1:1 16335:16343" x14ac:dyDescent="0.25">
      <c r="XDG501" s="6" t="s">
        <v>165</v>
      </c>
      <c r="XDH501" s="6" t="s">
        <v>165</v>
      </c>
      <c r="XDI501" s="6" t="s">
        <v>165</v>
      </c>
      <c r="XDJ501" s="6" t="s">
        <v>165</v>
      </c>
      <c r="XDK501" s="6" t="s">
        <v>165</v>
      </c>
      <c r="XDL501" s="6" t="s">
        <v>165</v>
      </c>
      <c r="XDM501" s="6" t="s">
        <v>165</v>
      </c>
      <c r="XDN501" s="6" t="s">
        <v>165</v>
      </c>
      <c r="XDO501" s="6" t="s">
        <v>165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28"/>
  <sheetViews>
    <sheetView workbookViewId="0">
      <selection activeCell="D9" sqref="D9"/>
    </sheetView>
  </sheetViews>
  <sheetFormatPr defaultRowHeight="15" x14ac:dyDescent="0.25"/>
  <cols>
    <col min="1" max="1" width="11" customWidth="1"/>
    <col min="2" max="2" width="49.7109375" customWidth="1"/>
    <col min="3" max="3" width="20" customWidth="1"/>
    <col min="4" max="4" width="19.5703125" customWidth="1"/>
    <col min="5" max="5" width="58.7109375" customWidth="1"/>
    <col min="6" max="6" width="18.140625" customWidth="1"/>
    <col min="7" max="7" width="12" customWidth="1"/>
    <col min="8" max="8" width="9.140625" customWidth="1"/>
    <col min="9" max="9" width="12" customWidth="1"/>
  </cols>
  <sheetData>
    <row r="1" spans="1:53" x14ac:dyDescent="0.25">
      <c r="A1" s="11" t="s">
        <v>218</v>
      </c>
      <c r="B1" s="12" t="s">
        <v>217</v>
      </c>
      <c r="BA1">
        <v>0</v>
      </c>
    </row>
    <row r="2" spans="1:53" x14ac:dyDescent="0.25">
      <c r="A2" s="4" t="s">
        <v>16</v>
      </c>
      <c r="B2" s="2" t="s">
        <v>14</v>
      </c>
      <c r="E2" s="10" t="s">
        <v>208</v>
      </c>
      <c r="F2" s="10" t="s">
        <v>210</v>
      </c>
    </row>
    <row r="3" spans="1:53" x14ac:dyDescent="0.25">
      <c r="A3" s="1" t="s">
        <v>0</v>
      </c>
      <c r="B3" s="2" t="s">
        <v>0</v>
      </c>
      <c r="E3" t="s">
        <v>212</v>
      </c>
      <c r="F3" t="s">
        <v>209</v>
      </c>
    </row>
    <row r="4" spans="1:53" x14ac:dyDescent="0.25">
      <c r="A4" s="1" t="s">
        <v>140</v>
      </c>
      <c r="B4" s="2" t="s">
        <v>1</v>
      </c>
      <c r="E4" t="s">
        <v>213</v>
      </c>
      <c r="F4" t="s">
        <v>211</v>
      </c>
    </row>
    <row r="5" spans="1:53" x14ac:dyDescent="0.25">
      <c r="A5" s="1" t="s">
        <v>139</v>
      </c>
      <c r="B5" s="2" t="s">
        <v>2</v>
      </c>
    </row>
    <row r="6" spans="1:53" x14ac:dyDescent="0.25">
      <c r="A6" s="1" t="s">
        <v>141</v>
      </c>
      <c r="B6" s="2" t="s">
        <v>3</v>
      </c>
    </row>
    <row r="7" spans="1:53" x14ac:dyDescent="0.25">
      <c r="A7" s="1" t="s">
        <v>142</v>
      </c>
      <c r="B7" s="2" t="s">
        <v>4</v>
      </c>
    </row>
    <row r="8" spans="1:53" x14ac:dyDescent="0.25">
      <c r="A8" s="1" t="s">
        <v>143</v>
      </c>
      <c r="B8" s="2" t="s">
        <v>5</v>
      </c>
    </row>
    <row r="9" spans="1:53" x14ac:dyDescent="0.25">
      <c r="A9" s="1" t="s">
        <v>144</v>
      </c>
      <c r="B9" s="2" t="s">
        <v>6</v>
      </c>
    </row>
    <row r="10" spans="1:53" x14ac:dyDescent="0.25">
      <c r="A10" s="1" t="s">
        <v>151</v>
      </c>
      <c r="B10" s="2" t="s">
        <v>7</v>
      </c>
    </row>
    <row r="11" spans="1:53" x14ac:dyDescent="0.25">
      <c r="A11" s="1" t="s">
        <v>145</v>
      </c>
      <c r="B11" s="2" t="s">
        <v>8</v>
      </c>
    </row>
    <row r="12" spans="1:53" x14ac:dyDescent="0.25">
      <c r="A12" s="1" t="s">
        <v>146</v>
      </c>
      <c r="B12" s="2" t="s">
        <v>9</v>
      </c>
    </row>
    <row r="13" spans="1:53" x14ac:dyDescent="0.25">
      <c r="A13" s="1" t="s">
        <v>147</v>
      </c>
      <c r="B13" s="2" t="s">
        <v>10</v>
      </c>
    </row>
    <row r="14" spans="1:53" x14ac:dyDescent="0.25">
      <c r="A14" s="1" t="s">
        <v>148</v>
      </c>
      <c r="B14" s="2" t="s">
        <v>11</v>
      </c>
    </row>
    <row r="15" spans="1:53" x14ac:dyDescent="0.25">
      <c r="A15" s="1" t="s">
        <v>149</v>
      </c>
      <c r="B15" s="2" t="s">
        <v>12</v>
      </c>
    </row>
    <row r="16" spans="1:53" x14ac:dyDescent="0.25">
      <c r="A16" s="1" t="s">
        <v>150</v>
      </c>
      <c r="B16" s="2" t="s">
        <v>13</v>
      </c>
    </row>
    <row r="17" spans="1:3" x14ac:dyDescent="0.25">
      <c r="A17" s="1" t="s">
        <v>180</v>
      </c>
      <c r="B17" s="9" t="s">
        <v>181</v>
      </c>
    </row>
    <row r="18" spans="1:3" x14ac:dyDescent="0.25">
      <c r="A18" s="1"/>
      <c r="B18" s="2"/>
    </row>
    <row r="20" spans="1:3" x14ac:dyDescent="0.25">
      <c r="A20" s="4" t="s">
        <v>154</v>
      </c>
      <c r="B20" s="2" t="s">
        <v>17</v>
      </c>
    </row>
    <row r="21" spans="1:3" x14ac:dyDescent="0.25">
      <c r="A21" s="1" t="s">
        <v>155</v>
      </c>
      <c r="B21" s="2" t="s">
        <v>156</v>
      </c>
    </row>
    <row r="22" spans="1:3" x14ac:dyDescent="0.25">
      <c r="A22" s="1" t="s">
        <v>155</v>
      </c>
      <c r="B22" s="2" t="s">
        <v>175</v>
      </c>
    </row>
    <row r="23" spans="1:3" x14ac:dyDescent="0.25">
      <c r="A23" s="1"/>
      <c r="B23" s="2"/>
    </row>
    <row r="25" spans="1:3" x14ac:dyDescent="0.25">
      <c r="A25" s="4" t="s">
        <v>154</v>
      </c>
      <c r="B25" s="2" t="s">
        <v>157</v>
      </c>
      <c r="C25" s="2" t="s">
        <v>159</v>
      </c>
    </row>
    <row r="26" spans="1:3" x14ac:dyDescent="0.25">
      <c r="A26" s="1" t="s">
        <v>25</v>
      </c>
      <c r="B26" s="7">
        <v>76998200</v>
      </c>
      <c r="C26" s="7" t="s">
        <v>166</v>
      </c>
    </row>
    <row r="27" spans="1:3" x14ac:dyDescent="0.25">
      <c r="A27" s="1" t="s">
        <v>158</v>
      </c>
      <c r="B27" s="7">
        <v>63998200</v>
      </c>
      <c r="C27" s="7" t="s">
        <v>167</v>
      </c>
    </row>
    <row r="28" spans="1:3" x14ac:dyDescent="0.25">
      <c r="A28" s="1"/>
      <c r="B28" s="2"/>
      <c r="C28" s="2"/>
    </row>
  </sheetData>
  <dataValidations disablePrompts="1" count="1">
    <dataValidation type="list" allowBlank="1" showInputMessage="1" showErrorMessage="1" sqref="C5:D5">
      <formula1>Project_Nr.s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114300</xdr:colOff>
                <xdr:row>1</xdr:row>
                <xdr:rowOff>161925</xdr:rowOff>
              </from>
              <to>
                <xdr:col>3</xdr:col>
                <xdr:colOff>933450</xdr:colOff>
                <xdr:row>7</xdr:row>
                <xdr:rowOff>104775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16"/>
  <sheetViews>
    <sheetView workbookViewId="0">
      <selection activeCell="C16" sqref="C16"/>
    </sheetView>
  </sheetViews>
  <sheetFormatPr defaultRowHeight="15" x14ac:dyDescent="0.25"/>
  <cols>
    <col min="2" max="2" width="9.140625" style="8"/>
    <col min="3" max="3" width="72" customWidth="1"/>
  </cols>
  <sheetData>
    <row r="2" spans="2:3" x14ac:dyDescent="0.25">
      <c r="B2" s="8" t="s">
        <v>169</v>
      </c>
      <c r="C2" t="s">
        <v>170</v>
      </c>
    </row>
    <row r="3" spans="2:3" x14ac:dyDescent="0.25">
      <c r="B3" s="8" t="s">
        <v>171</v>
      </c>
      <c r="C3" t="s">
        <v>172</v>
      </c>
    </row>
    <row r="4" spans="2:3" x14ac:dyDescent="0.25">
      <c r="B4" s="8" t="s">
        <v>173</v>
      </c>
      <c r="C4" t="s">
        <v>174</v>
      </c>
    </row>
    <row r="5" spans="2:3" x14ac:dyDescent="0.25">
      <c r="B5" s="8" t="s">
        <v>178</v>
      </c>
      <c r="C5" t="s">
        <v>179</v>
      </c>
    </row>
    <row r="6" spans="2:3" x14ac:dyDescent="0.25">
      <c r="B6" s="8" t="s">
        <v>182</v>
      </c>
    </row>
    <row r="7" spans="2:3" x14ac:dyDescent="0.25">
      <c r="B7" s="8" t="s">
        <v>183</v>
      </c>
      <c r="C7" t="s">
        <v>184</v>
      </c>
    </row>
    <row r="8" spans="2:3" x14ac:dyDescent="0.25">
      <c r="B8" s="8" t="s">
        <v>185</v>
      </c>
      <c r="C8" t="s">
        <v>186</v>
      </c>
    </row>
    <row r="9" spans="2:3" x14ac:dyDescent="0.25">
      <c r="B9" s="8" t="s">
        <v>187</v>
      </c>
      <c r="C9" t="s">
        <v>188</v>
      </c>
    </row>
    <row r="10" spans="2:3" x14ac:dyDescent="0.25">
      <c r="B10" s="8" t="s">
        <v>201</v>
      </c>
      <c r="C10" t="s">
        <v>202</v>
      </c>
    </row>
    <row r="11" spans="2:3" x14ac:dyDescent="0.25">
      <c r="C11" t="s">
        <v>207</v>
      </c>
    </row>
    <row r="12" spans="2:3" x14ac:dyDescent="0.25">
      <c r="B12" s="8" t="s">
        <v>206</v>
      </c>
      <c r="C12" t="s">
        <v>214</v>
      </c>
    </row>
    <row r="13" spans="2:3" x14ac:dyDescent="0.25">
      <c r="C13" t="s">
        <v>215</v>
      </c>
    </row>
    <row r="14" spans="2:3" x14ac:dyDescent="0.25">
      <c r="C14" t="s">
        <v>216</v>
      </c>
    </row>
    <row r="15" spans="2:3" x14ac:dyDescent="0.25">
      <c r="B15" s="8" t="s">
        <v>217</v>
      </c>
      <c r="C15" t="s">
        <v>219</v>
      </c>
    </row>
    <row r="16" spans="2:3" x14ac:dyDescent="0.25">
      <c r="C16" t="s">
        <v>220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S35"/>
  <sheetViews>
    <sheetView showGridLines="0" showRowColHeaders="0" tabSelected="1" workbookViewId="0">
      <selection activeCell="B6" sqref="B6"/>
    </sheetView>
  </sheetViews>
  <sheetFormatPr defaultRowHeight="15" outlineLevelCol="1" x14ac:dyDescent="0.25"/>
  <cols>
    <col min="1" max="1" width="3.7109375" customWidth="1"/>
    <col min="2" max="2" width="30.7109375" customWidth="1"/>
    <col min="3" max="4" width="12.7109375" customWidth="1"/>
    <col min="5" max="5" width="8.7109375" customWidth="1"/>
    <col min="6" max="6" width="33.42578125" customWidth="1"/>
    <col min="7" max="7" width="40.7109375" customWidth="1"/>
    <col min="8" max="8" width="5.5703125" customWidth="1"/>
    <col min="9" max="9" width="9.7109375" hidden="1" customWidth="1" outlineLevel="1"/>
    <col min="10" max="10" width="18.7109375" hidden="1" customWidth="1" outlineLevel="1"/>
    <col min="11" max="11" width="6.7109375" hidden="1" customWidth="1" outlineLevel="1"/>
    <col min="12" max="12" width="10.7109375" hidden="1" customWidth="1" outlineLevel="1"/>
    <col min="13" max="13" width="50.7109375" hidden="1" customWidth="1" outlineLevel="1"/>
    <col min="14" max="14" width="0.140625" hidden="1" customWidth="1" outlineLevel="1"/>
    <col min="15" max="15" width="3.28515625" customWidth="1" collapsed="1"/>
    <col min="16" max="44" width="3.28515625" customWidth="1"/>
    <col min="45" max="45" width="0.140625" customWidth="1"/>
  </cols>
  <sheetData>
    <row r="1" spans="1:45" ht="27" customHeight="1" x14ac:dyDescent="0.25">
      <c r="A1" s="45" t="s">
        <v>240</v>
      </c>
      <c r="B1" s="48" t="s">
        <v>241</v>
      </c>
      <c r="C1" s="48" t="s">
        <v>242</v>
      </c>
      <c r="D1" s="48" t="s">
        <v>243</v>
      </c>
      <c r="E1" s="48" t="s">
        <v>244</v>
      </c>
      <c r="F1" s="48" t="s">
        <v>245</v>
      </c>
      <c r="G1" s="48" t="s">
        <v>246</v>
      </c>
      <c r="H1" s="48" t="s">
        <v>155</v>
      </c>
      <c r="I1" s="48" t="s">
        <v>157</v>
      </c>
      <c r="J1" s="48" t="s">
        <v>247</v>
      </c>
      <c r="K1" s="48" t="s">
        <v>248</v>
      </c>
      <c r="L1" s="48" t="s">
        <v>249</v>
      </c>
      <c r="M1" s="51" t="s">
        <v>250</v>
      </c>
      <c r="N1" s="54"/>
      <c r="O1" s="24" t="s">
        <v>239</v>
      </c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5"/>
      <c r="AS1" s="58"/>
    </row>
    <row r="2" spans="1:45" ht="12" customHeight="1" x14ac:dyDescent="0.25">
      <c r="A2" s="46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52"/>
      <c r="N2" s="55"/>
      <c r="O2" s="39">
        <v>44440</v>
      </c>
      <c r="P2" s="15">
        <v>44441</v>
      </c>
      <c r="Q2" s="15">
        <v>44442</v>
      </c>
      <c r="R2" s="15">
        <v>44443</v>
      </c>
      <c r="S2" s="15">
        <v>44444</v>
      </c>
      <c r="T2" s="15">
        <v>44445</v>
      </c>
      <c r="U2" s="15">
        <v>44446</v>
      </c>
      <c r="V2" s="15">
        <v>44447</v>
      </c>
      <c r="W2" s="15">
        <v>44448</v>
      </c>
      <c r="X2" s="15">
        <v>44449</v>
      </c>
      <c r="Y2" s="15">
        <v>44450</v>
      </c>
      <c r="Z2" s="15">
        <v>44451</v>
      </c>
      <c r="AA2" s="15">
        <v>44452</v>
      </c>
      <c r="AB2" s="15">
        <v>44453</v>
      </c>
      <c r="AC2" s="15">
        <v>44454</v>
      </c>
      <c r="AD2" s="15">
        <v>44455</v>
      </c>
      <c r="AE2" s="15">
        <v>44456</v>
      </c>
      <c r="AF2" s="15">
        <v>44457</v>
      </c>
      <c r="AG2" s="15">
        <v>44458</v>
      </c>
      <c r="AH2" s="15">
        <v>44459</v>
      </c>
      <c r="AI2" s="15">
        <v>44460</v>
      </c>
      <c r="AJ2" s="15">
        <v>44461</v>
      </c>
      <c r="AK2" s="15">
        <v>44462</v>
      </c>
      <c r="AL2" s="15">
        <v>44463</v>
      </c>
      <c r="AM2" s="15">
        <v>44464</v>
      </c>
      <c r="AN2" s="15">
        <v>44465</v>
      </c>
      <c r="AO2" s="15">
        <v>44466</v>
      </c>
      <c r="AP2" s="15">
        <v>44467</v>
      </c>
      <c r="AQ2" s="15">
        <v>44468</v>
      </c>
      <c r="AR2" s="23">
        <v>44469</v>
      </c>
      <c r="AS2" s="58"/>
    </row>
    <row r="3" spans="1:45" ht="12" customHeight="1" x14ac:dyDescent="0.25">
      <c r="A3" s="46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52"/>
      <c r="N3" s="55"/>
      <c r="O3" s="40" t="s">
        <v>232</v>
      </c>
      <c r="P3" s="14" t="s">
        <v>233</v>
      </c>
      <c r="Q3" s="14" t="s">
        <v>234</v>
      </c>
      <c r="R3" s="14" t="s">
        <v>235</v>
      </c>
      <c r="S3" s="14" t="s">
        <v>236</v>
      </c>
      <c r="T3" s="14" t="s">
        <v>237</v>
      </c>
      <c r="U3" s="14" t="s">
        <v>238</v>
      </c>
      <c r="V3" s="14" t="s">
        <v>232</v>
      </c>
      <c r="W3" s="14" t="s">
        <v>233</v>
      </c>
      <c r="X3" s="14" t="s">
        <v>234</v>
      </c>
      <c r="Y3" s="14" t="s">
        <v>235</v>
      </c>
      <c r="Z3" s="14" t="s">
        <v>236</v>
      </c>
      <c r="AA3" s="14" t="s">
        <v>237</v>
      </c>
      <c r="AB3" s="14" t="s">
        <v>238</v>
      </c>
      <c r="AC3" s="14" t="s">
        <v>232</v>
      </c>
      <c r="AD3" s="14" t="s">
        <v>233</v>
      </c>
      <c r="AE3" s="14" t="s">
        <v>234</v>
      </c>
      <c r="AF3" s="14" t="s">
        <v>235</v>
      </c>
      <c r="AG3" s="14" t="s">
        <v>236</v>
      </c>
      <c r="AH3" s="14" t="s">
        <v>237</v>
      </c>
      <c r="AI3" s="14" t="s">
        <v>238</v>
      </c>
      <c r="AJ3" s="14" t="s">
        <v>232</v>
      </c>
      <c r="AK3" s="14" t="s">
        <v>233</v>
      </c>
      <c r="AL3" s="14" t="s">
        <v>234</v>
      </c>
      <c r="AM3" s="14" t="s">
        <v>235</v>
      </c>
      <c r="AN3" s="14" t="s">
        <v>236</v>
      </c>
      <c r="AO3" s="14" t="s">
        <v>237</v>
      </c>
      <c r="AP3" s="14" t="s">
        <v>238</v>
      </c>
      <c r="AQ3" s="14" t="s">
        <v>232</v>
      </c>
      <c r="AR3" s="22" t="s">
        <v>233</v>
      </c>
      <c r="AS3" s="58"/>
    </row>
    <row r="4" spans="1:45" ht="15.75" thickBot="1" x14ac:dyDescent="0.3">
      <c r="A4" s="47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3"/>
      <c r="N4" s="56"/>
      <c r="O4" s="41">
        <f>SUM($O$5:$O$34)</f>
        <v>0</v>
      </c>
      <c r="P4" s="28">
        <f>SUM($P$5:$P$34)</f>
        <v>3</v>
      </c>
      <c r="Q4" s="28">
        <f>SUM($Q$5:$Q$34)</f>
        <v>0</v>
      </c>
      <c r="R4" s="28">
        <f>SUM($R$5:$R$34)</f>
        <v>0</v>
      </c>
      <c r="S4" s="28">
        <f>SUM($S$5:$S$34)</f>
        <v>0</v>
      </c>
      <c r="T4" s="28">
        <f>SUM($T$5:$T$34)</f>
        <v>0</v>
      </c>
      <c r="U4" s="28">
        <f>SUM($U$5:$U$34)</f>
        <v>2</v>
      </c>
      <c r="V4" s="28">
        <f>SUM($V$5:$V$34)</f>
        <v>0</v>
      </c>
      <c r="W4" s="28">
        <f>SUM($W$5:$W$34)</f>
        <v>0</v>
      </c>
      <c r="X4" s="28">
        <f>SUM($X$5:$X$34)</f>
        <v>0</v>
      </c>
      <c r="Y4" s="28">
        <f>SUM($Y$5:$Y$34)</f>
        <v>0</v>
      </c>
      <c r="Z4" s="28">
        <f>SUM($Z$5:$Z$34)</f>
        <v>0</v>
      </c>
      <c r="AA4" s="28">
        <f>SUM($AA$5:$AA$34)</f>
        <v>0</v>
      </c>
      <c r="AB4" s="28">
        <f>SUM($AB$5:$AB$34)</f>
        <v>0</v>
      </c>
      <c r="AC4" s="28">
        <f>SUM($AC$5:$AC$34)</f>
        <v>0</v>
      </c>
      <c r="AD4" s="28">
        <f>SUM($AD$5:$AD$34)</f>
        <v>4</v>
      </c>
      <c r="AE4" s="28">
        <f>SUM($AE$5:$AE$34)</f>
        <v>0</v>
      </c>
      <c r="AF4" s="28">
        <f>SUM($AF$5:$AF$34)</f>
        <v>0</v>
      </c>
      <c r="AG4" s="28">
        <f>SUM($AG$5:$AG$34)</f>
        <v>0</v>
      </c>
      <c r="AH4" s="28">
        <f>SUM($AH$5:$AH$34)</f>
        <v>0</v>
      </c>
      <c r="AI4" s="28">
        <f>SUM($AI$5:$AI$34)</f>
        <v>0</v>
      </c>
      <c r="AJ4" s="28">
        <f>SUM($AJ$5:$AJ$34)</f>
        <v>0</v>
      </c>
      <c r="AK4" s="28">
        <f>SUM($AK$5:$AK$34)</f>
        <v>6</v>
      </c>
      <c r="AL4" s="28">
        <f>SUM($AL$5:$AL$34)</f>
        <v>0</v>
      </c>
      <c r="AM4" s="28">
        <f>SUM($AM$5:$AM$34)</f>
        <v>0</v>
      </c>
      <c r="AN4" s="28">
        <f>SUM($AN$5:$AN$34)</f>
        <v>0</v>
      </c>
      <c r="AO4" s="28">
        <f>SUM($AO$5:$AO$34)</f>
        <v>0</v>
      </c>
      <c r="AP4" s="28">
        <f>SUM($AP$5:$AP$34)</f>
        <v>0</v>
      </c>
      <c r="AQ4" s="28">
        <f>SUM($AQ$5:$AQ$34)</f>
        <v>3</v>
      </c>
      <c r="AR4" s="29">
        <f>SUM($AR$5:$AR$34)</f>
        <v>0</v>
      </c>
      <c r="AS4" s="58"/>
    </row>
    <row r="5" spans="1:45" x14ac:dyDescent="0.25">
      <c r="A5" s="30">
        <v>1</v>
      </c>
      <c r="B5" s="31" t="s">
        <v>251</v>
      </c>
      <c r="C5" s="32" t="e">
        <f>IF($B$5="","",VLOOKUP($B$5,Projekty_metis,2,))</f>
        <v>#N/A</v>
      </c>
      <c r="D5" s="32" t="e">
        <f>IF($B$5="","",VLOOKUP($B$5,Projekty_metis,3,))</f>
        <v>#N/A</v>
      </c>
      <c r="E5" s="33" t="s">
        <v>156</v>
      </c>
      <c r="F5" s="32" t="e">
        <f>IF($B$5="","",VLOOKUP(VLOOKUP($B$5,Projekty_metis,7,),Prokostal_tab[],2,FALSE))</f>
        <v>#N/A</v>
      </c>
      <c r="G5" s="31" t="s">
        <v>252</v>
      </c>
      <c r="H5" s="32">
        <f>SUM($O$5:$AR$5)</f>
        <v>18</v>
      </c>
      <c r="I5" s="32">
        <f>IF($B$5="","",76998200)</f>
        <v>76998200</v>
      </c>
      <c r="J5" s="32" t="e">
        <f>IF(B5="","",$K$5 &amp; RIGHT($C$5,LEN($C$5)-2)&amp;"."&amp;$E$5)</f>
        <v>#N/A</v>
      </c>
      <c r="K5" s="32" t="str">
        <f>IF(B5="","",VLOOKUP(VLOOKUP($I$5,PAxx_list_from_costcenter,1,),PAxx_list_from_costcenter,2,FALSE))</f>
        <v>PACP</v>
      </c>
      <c r="L5" s="32" t="str">
        <f>IF(B5="","","pater001")</f>
        <v>pater001</v>
      </c>
      <c r="M5" s="36" t="str">
        <f>IF(B5="","", L5&amp;";"&amp;B5&amp;";"&amp;G5)</f>
        <v>pater001;Example;Something to do</v>
      </c>
      <c r="N5" s="44"/>
      <c r="O5" s="42"/>
      <c r="P5" s="34">
        <v>3</v>
      </c>
      <c r="Q5" s="34"/>
      <c r="R5" s="34"/>
      <c r="S5" s="34"/>
      <c r="T5" s="34"/>
      <c r="U5" s="34">
        <v>2</v>
      </c>
      <c r="V5" s="34"/>
      <c r="W5" s="34"/>
      <c r="X5" s="34"/>
      <c r="Y5" s="34"/>
      <c r="Z5" s="34"/>
      <c r="AA5" s="34"/>
      <c r="AB5" s="34"/>
      <c r="AC5" s="34"/>
      <c r="AD5" s="34">
        <v>4</v>
      </c>
      <c r="AE5" s="34"/>
      <c r="AF5" s="34"/>
      <c r="AG5" s="34"/>
      <c r="AH5" s="34"/>
      <c r="AI5" s="34"/>
      <c r="AJ5" s="34"/>
      <c r="AK5" s="34">
        <v>6</v>
      </c>
      <c r="AL5" s="34"/>
      <c r="AM5" s="34"/>
      <c r="AN5" s="34"/>
      <c r="AO5" s="34"/>
      <c r="AP5" s="34"/>
      <c r="AQ5" s="34">
        <v>3</v>
      </c>
      <c r="AR5" s="35"/>
      <c r="AS5" s="58"/>
    </row>
    <row r="6" spans="1:45" x14ac:dyDescent="0.25">
      <c r="A6" s="20">
        <v>2</v>
      </c>
      <c r="B6" s="13"/>
      <c r="C6" s="16" t="str">
        <f>IF($B$6="","",VLOOKUP($B$6,Projekty_metis,2,))</f>
        <v/>
      </c>
      <c r="D6" s="16" t="str">
        <f>IF($B$6="","",VLOOKUP($B$6,Projekty_metis,3,))</f>
        <v/>
      </c>
      <c r="E6" s="14"/>
      <c r="F6" s="16" t="str">
        <f>IF($B$6="","",VLOOKUP(VLOOKUP($B$6,Projekty_metis,7,),Prokostal_tab[],2,FALSE))</f>
        <v/>
      </c>
      <c r="G6" s="13"/>
      <c r="H6" s="16">
        <f>SUM($O$6:$AR$6)</f>
        <v>0</v>
      </c>
      <c r="I6" s="16" t="str">
        <f>IF($B$6="","",76998200)</f>
        <v/>
      </c>
      <c r="J6" s="16" t="str">
        <f>IF(B6="","",$K$6 &amp; RIGHT($C$6,LEN($C$6)-2)&amp;"."&amp;$E$6)</f>
        <v/>
      </c>
      <c r="K6" s="16" t="str">
        <f>IF(B6="","",VLOOKUP(VLOOKUP($I$6,PAxx_list_from_costcenter,1,),PAxx_list_from_costcenter,2,FALSE))</f>
        <v/>
      </c>
      <c r="L6" s="16" t="str">
        <f>IF(B6="","","pater001")</f>
        <v/>
      </c>
      <c r="M6" s="37" t="str">
        <f>IF(B6="","", L6&amp;";"&amp;B6&amp;";"&amp;G6)</f>
        <v/>
      </c>
      <c r="N6" s="44"/>
      <c r="O6" s="43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7"/>
      <c r="AS6" s="58"/>
    </row>
    <row r="7" spans="1:45" x14ac:dyDescent="0.25">
      <c r="A7" s="20">
        <v>3</v>
      </c>
      <c r="B7" s="13"/>
      <c r="C7" s="16" t="str">
        <f>IF($B$7="","",VLOOKUP($B$7,Projekty_metis,2,))</f>
        <v/>
      </c>
      <c r="D7" s="16" t="str">
        <f>IF($B$7="","",VLOOKUP($B$7,Projekty_metis,3,))</f>
        <v/>
      </c>
      <c r="E7" s="14"/>
      <c r="F7" s="16" t="str">
        <f>IF($B$7="","",VLOOKUP(VLOOKUP($B$7,Projekty_metis,7,),Prokostal_tab[],2,FALSE))</f>
        <v/>
      </c>
      <c r="G7" s="13"/>
      <c r="H7" s="16">
        <f>SUM($O$7:$AR$7)</f>
        <v>0</v>
      </c>
      <c r="I7" s="16" t="str">
        <f>IF($B$7="","",76998200)</f>
        <v/>
      </c>
      <c r="J7" s="16" t="str">
        <f>IF(B7="","",$K$7 &amp; RIGHT($C$7,LEN($C$7)-2)&amp;"."&amp;$E$7)</f>
        <v/>
      </c>
      <c r="K7" s="16" t="str">
        <f>IF(B7="","",VLOOKUP(VLOOKUP($I$7,PAxx_list_from_costcenter,1,),PAxx_list_from_costcenter,2,FALSE))</f>
        <v/>
      </c>
      <c r="L7" s="16" t="str">
        <f>IF(B7="","","pater001")</f>
        <v/>
      </c>
      <c r="M7" s="37" t="str">
        <f>IF(B7="","", L7&amp;";"&amp;B7&amp;";"&amp;G7)</f>
        <v/>
      </c>
      <c r="N7" s="44"/>
      <c r="O7" s="43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7"/>
      <c r="AS7" s="58"/>
    </row>
    <row r="8" spans="1:45" x14ac:dyDescent="0.25">
      <c r="A8" s="20">
        <v>4</v>
      </c>
      <c r="B8" s="13"/>
      <c r="C8" s="16" t="str">
        <f>IF($B$8="","",VLOOKUP($B$8,Projekty_metis,2,))</f>
        <v/>
      </c>
      <c r="D8" s="16" t="str">
        <f>IF($B$8="","",VLOOKUP($B$8,Projekty_metis,3,))</f>
        <v/>
      </c>
      <c r="E8" s="14"/>
      <c r="F8" s="16" t="str">
        <f>IF($B$8="","",VLOOKUP(VLOOKUP($B$8,Projekty_metis,7,),Prokostal_tab[],2,FALSE))</f>
        <v/>
      </c>
      <c r="G8" s="13"/>
      <c r="H8" s="16">
        <f>SUM($O$8:$AR$8)</f>
        <v>0</v>
      </c>
      <c r="I8" s="16" t="str">
        <f>IF($B$8="","",76998200)</f>
        <v/>
      </c>
      <c r="J8" s="16" t="str">
        <f>IF(B8="","",$K$8 &amp; RIGHT($C$8,LEN($C$8)-2)&amp;"."&amp;$E$8)</f>
        <v/>
      </c>
      <c r="K8" s="16" t="str">
        <f>IF(B8="","",VLOOKUP(VLOOKUP($I$8,PAxx_list_from_costcenter,1,),PAxx_list_from_costcenter,2,FALSE))</f>
        <v/>
      </c>
      <c r="L8" s="16" t="str">
        <f>IF(B8="","","pater001")</f>
        <v/>
      </c>
      <c r="M8" s="37" t="str">
        <f>IF(B8="","", L8&amp;";"&amp;B8&amp;";"&amp;G8)</f>
        <v/>
      </c>
      <c r="N8" s="44"/>
      <c r="O8" s="43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7"/>
      <c r="AS8" s="58"/>
    </row>
    <row r="9" spans="1:45" x14ac:dyDescent="0.25">
      <c r="A9" s="20">
        <v>5</v>
      </c>
      <c r="B9" s="13"/>
      <c r="C9" s="16" t="str">
        <f>IF($B$9="","",VLOOKUP($B$9,Projekty_metis,2,))</f>
        <v/>
      </c>
      <c r="D9" s="16" t="str">
        <f>IF($B$9="","",VLOOKUP($B$9,Projekty_metis,3,))</f>
        <v/>
      </c>
      <c r="E9" s="14"/>
      <c r="F9" s="16" t="str">
        <f>IF($B$9="","",VLOOKUP(VLOOKUP($B$9,Projekty_metis,7,),Prokostal_tab[],2,FALSE))</f>
        <v/>
      </c>
      <c r="G9" s="13"/>
      <c r="H9" s="16">
        <f>SUM($O$9:$AR$9)</f>
        <v>0</v>
      </c>
      <c r="I9" s="16" t="str">
        <f>IF($B$9="","",76998200)</f>
        <v/>
      </c>
      <c r="J9" s="16" t="str">
        <f>IF(B9="","",$K$9 &amp; RIGHT($C$9,LEN($C$9)-2)&amp;"."&amp;$E$9)</f>
        <v/>
      </c>
      <c r="K9" s="16" t="str">
        <f>IF(B9="","",VLOOKUP(VLOOKUP($I$9,PAxx_list_from_costcenter,1,),PAxx_list_from_costcenter,2,FALSE))</f>
        <v/>
      </c>
      <c r="L9" s="16" t="str">
        <f>IF(B9="","","pater001")</f>
        <v/>
      </c>
      <c r="M9" s="37" t="str">
        <f>IF(B9="","", L9&amp;";"&amp;B9&amp;";"&amp;G9)</f>
        <v/>
      </c>
      <c r="N9" s="44"/>
      <c r="O9" s="43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7"/>
      <c r="AS9" s="58"/>
    </row>
    <row r="10" spans="1:45" x14ac:dyDescent="0.25">
      <c r="A10" s="20">
        <v>6</v>
      </c>
      <c r="B10" s="13"/>
      <c r="C10" s="16" t="str">
        <f>IF($B$10="","",VLOOKUP($B$10,Projekty_metis,2,))</f>
        <v/>
      </c>
      <c r="D10" s="16" t="str">
        <f>IF($B$10="","",VLOOKUP($B$10,Projekty_metis,3,))</f>
        <v/>
      </c>
      <c r="E10" s="14"/>
      <c r="F10" s="16" t="str">
        <f>IF($B$10="","",VLOOKUP(VLOOKUP($B$10,Projekty_metis,7,),Prokostal_tab[],2,FALSE))</f>
        <v/>
      </c>
      <c r="G10" s="13"/>
      <c r="H10" s="16">
        <f>SUM($O$10:$AR$10)</f>
        <v>0</v>
      </c>
      <c r="I10" s="16" t="str">
        <f>IF($B$10="","",76998200)</f>
        <v/>
      </c>
      <c r="J10" s="16" t="str">
        <f>IF(B10="","",$K$10 &amp; RIGHT($C$10,LEN($C$10)-2)&amp;"."&amp;$E$10)</f>
        <v/>
      </c>
      <c r="K10" s="16" t="str">
        <f>IF(B10="","",VLOOKUP(VLOOKUP($I$10,PAxx_list_from_costcenter,1,),PAxx_list_from_costcenter,2,FALSE))</f>
        <v/>
      </c>
      <c r="L10" s="16" t="str">
        <f>IF(B10="","","pater001")</f>
        <v/>
      </c>
      <c r="M10" s="37" t="str">
        <f>IF(B10="","", L10&amp;";"&amp;B10&amp;";"&amp;G10)</f>
        <v/>
      </c>
      <c r="N10" s="44"/>
      <c r="O10" s="43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7"/>
      <c r="AS10" s="58"/>
    </row>
    <row r="11" spans="1:45" x14ac:dyDescent="0.25">
      <c r="A11" s="20">
        <v>7</v>
      </c>
      <c r="B11" s="13"/>
      <c r="C11" s="16" t="str">
        <f>IF($B$11="","",VLOOKUP($B$11,Projekty_metis,2,))</f>
        <v/>
      </c>
      <c r="D11" s="16" t="str">
        <f>IF($B$11="","",VLOOKUP($B$11,Projekty_metis,3,))</f>
        <v/>
      </c>
      <c r="E11" s="14"/>
      <c r="F11" s="16" t="str">
        <f>IF($B$11="","",VLOOKUP(VLOOKUP($B$11,Projekty_metis,7,),Prokostal_tab[],2,FALSE))</f>
        <v/>
      </c>
      <c r="G11" s="13"/>
      <c r="H11" s="16">
        <f>SUM($O$11:$AR$11)</f>
        <v>0</v>
      </c>
      <c r="I11" s="16" t="str">
        <f>IF($B$11="","",76998200)</f>
        <v/>
      </c>
      <c r="J11" s="16" t="str">
        <f>IF(B11="","",$K$11 &amp; RIGHT($C$11,LEN($C$11)-2)&amp;"."&amp;$E$11)</f>
        <v/>
      </c>
      <c r="K11" s="16" t="str">
        <f>IF(B11="","",VLOOKUP(VLOOKUP($I$11,PAxx_list_from_costcenter,1,),PAxx_list_from_costcenter,2,FALSE))</f>
        <v/>
      </c>
      <c r="L11" s="16" t="str">
        <f>IF(B11="","","pater001")</f>
        <v/>
      </c>
      <c r="M11" s="37" t="str">
        <f>IF(B11="","", L11&amp;";"&amp;B11&amp;";"&amp;G11)</f>
        <v/>
      </c>
      <c r="N11" s="44"/>
      <c r="O11" s="43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7"/>
      <c r="AS11" s="58"/>
    </row>
    <row r="12" spans="1:45" x14ac:dyDescent="0.25">
      <c r="A12" s="20">
        <v>8</v>
      </c>
      <c r="B12" s="13"/>
      <c r="C12" s="16" t="str">
        <f>IF($B$12="","",VLOOKUP($B$12,Projekty_metis,2,))</f>
        <v/>
      </c>
      <c r="D12" s="16" t="str">
        <f>IF($B$12="","",VLOOKUP($B$12,Projekty_metis,3,))</f>
        <v/>
      </c>
      <c r="E12" s="14"/>
      <c r="F12" s="16" t="str">
        <f>IF($B$12="","",VLOOKUP(VLOOKUP($B$12,Projekty_metis,7,),Prokostal_tab[],2,FALSE))</f>
        <v/>
      </c>
      <c r="G12" s="13"/>
      <c r="H12" s="16">
        <f>SUM($O$12:$AR$12)</f>
        <v>0</v>
      </c>
      <c r="I12" s="16" t="str">
        <f>IF($B$12="","",76998200)</f>
        <v/>
      </c>
      <c r="J12" s="16" t="str">
        <f>IF(B12="","",$K$12 &amp; RIGHT($C$12,LEN($C$12)-2)&amp;"."&amp;$E$12)</f>
        <v/>
      </c>
      <c r="K12" s="16" t="str">
        <f>IF(B12="","",VLOOKUP(VLOOKUP($I$12,PAxx_list_from_costcenter,1,),PAxx_list_from_costcenter,2,FALSE))</f>
        <v/>
      </c>
      <c r="L12" s="16" t="str">
        <f>IF(B12="","","pater001")</f>
        <v/>
      </c>
      <c r="M12" s="37" t="str">
        <f>IF(B12="","", L12&amp;";"&amp;B12&amp;";"&amp;G12)</f>
        <v/>
      </c>
      <c r="N12" s="44"/>
      <c r="O12" s="43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7"/>
      <c r="AS12" s="58"/>
    </row>
    <row r="13" spans="1:45" x14ac:dyDescent="0.25">
      <c r="A13" s="20">
        <v>9</v>
      </c>
      <c r="B13" s="13"/>
      <c r="C13" s="16" t="str">
        <f>IF($B$13="","",VLOOKUP($B$13,Projekty_metis,2,))</f>
        <v/>
      </c>
      <c r="D13" s="16" t="str">
        <f>IF($B$13="","",VLOOKUP($B$13,Projekty_metis,3,))</f>
        <v/>
      </c>
      <c r="E13" s="14"/>
      <c r="F13" s="16" t="str">
        <f>IF($B$13="","",VLOOKUP(VLOOKUP($B$13,Projekty_metis,7,),Prokostal_tab[],2,FALSE))</f>
        <v/>
      </c>
      <c r="G13" s="13"/>
      <c r="H13" s="16">
        <f>SUM($O$13:$AR$13)</f>
        <v>0</v>
      </c>
      <c r="I13" s="16" t="str">
        <f>IF($B$13="","",76998200)</f>
        <v/>
      </c>
      <c r="J13" s="16" t="str">
        <f>IF(B13="","",$K$13 &amp; RIGHT($C$13,LEN($C$13)-2)&amp;"."&amp;$E$13)</f>
        <v/>
      </c>
      <c r="K13" s="16" t="str">
        <f>IF(B13="","",VLOOKUP(VLOOKUP($I$13,PAxx_list_from_costcenter,1,),PAxx_list_from_costcenter,2,FALSE))</f>
        <v/>
      </c>
      <c r="L13" s="16" t="str">
        <f>IF(B13="","","pater001")</f>
        <v/>
      </c>
      <c r="M13" s="37" t="str">
        <f>IF(B13="","", L13&amp;";"&amp;B13&amp;";"&amp;G13)</f>
        <v/>
      </c>
      <c r="N13" s="44"/>
      <c r="O13" s="43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7"/>
      <c r="AS13" s="58"/>
    </row>
    <row r="14" spans="1:45" x14ac:dyDescent="0.25">
      <c r="A14" s="20">
        <v>10</v>
      </c>
      <c r="B14" s="13"/>
      <c r="C14" s="16" t="str">
        <f>IF($B$14="","",VLOOKUP($B$14,Projekty_metis,2,))</f>
        <v/>
      </c>
      <c r="D14" s="16" t="str">
        <f>IF($B$14="","",VLOOKUP($B$14,Projekty_metis,3,))</f>
        <v/>
      </c>
      <c r="E14" s="14"/>
      <c r="F14" s="16" t="str">
        <f>IF($B$14="","",VLOOKUP(VLOOKUP($B$14,Projekty_metis,7,),Prokostal_tab[],2,FALSE))</f>
        <v/>
      </c>
      <c r="G14" s="13"/>
      <c r="H14" s="16">
        <f>SUM($O$14:$AR$14)</f>
        <v>0</v>
      </c>
      <c r="I14" s="16" t="str">
        <f>IF($B$14="","",76998200)</f>
        <v/>
      </c>
      <c r="J14" s="16" t="str">
        <f>IF(B14="","",$K$14 &amp; RIGHT($C$14,LEN($C$14)-2)&amp;"."&amp;$E$14)</f>
        <v/>
      </c>
      <c r="K14" s="16" t="str">
        <f>IF(B14="","",VLOOKUP(VLOOKUP($I$14,PAxx_list_from_costcenter,1,),PAxx_list_from_costcenter,2,FALSE))</f>
        <v/>
      </c>
      <c r="L14" s="16" t="str">
        <f>IF(B14="","","pater001")</f>
        <v/>
      </c>
      <c r="M14" s="37" t="str">
        <f>IF(B14="","", L14&amp;";"&amp;B14&amp;";"&amp;G14)</f>
        <v/>
      </c>
      <c r="N14" s="44"/>
      <c r="O14" s="43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7"/>
      <c r="AS14" s="58"/>
    </row>
    <row r="15" spans="1:45" x14ac:dyDescent="0.25">
      <c r="A15" s="20">
        <v>11</v>
      </c>
      <c r="B15" s="13"/>
      <c r="C15" s="16" t="str">
        <f>IF($B$15="","",VLOOKUP($B$15,Projekty_metis,2,))</f>
        <v/>
      </c>
      <c r="D15" s="16" t="str">
        <f>IF($B$15="","",VLOOKUP($B$15,Projekty_metis,3,))</f>
        <v/>
      </c>
      <c r="E15" s="14"/>
      <c r="F15" s="16" t="str">
        <f>IF($B$15="","",VLOOKUP(VLOOKUP($B$15,Projekty_metis,7,),Prokostal_tab[],2,FALSE))</f>
        <v/>
      </c>
      <c r="G15" s="13"/>
      <c r="H15" s="16">
        <f>SUM($O$15:$AR$15)</f>
        <v>0</v>
      </c>
      <c r="I15" s="16" t="str">
        <f>IF($B$15="","",76998200)</f>
        <v/>
      </c>
      <c r="J15" s="16" t="str">
        <f>IF(B15="","",$K$15 &amp; RIGHT($C$15,LEN($C$15)-2)&amp;"."&amp;$E$15)</f>
        <v/>
      </c>
      <c r="K15" s="16" t="str">
        <f>IF(B15="","",VLOOKUP(VLOOKUP($I$15,PAxx_list_from_costcenter,1,),PAxx_list_from_costcenter,2,FALSE))</f>
        <v/>
      </c>
      <c r="L15" s="16" t="str">
        <f>IF(B15="","","pater001")</f>
        <v/>
      </c>
      <c r="M15" s="37" t="str">
        <f>IF(B15="","", L15&amp;";"&amp;B15&amp;";"&amp;G15)</f>
        <v/>
      </c>
      <c r="N15" s="44"/>
      <c r="O15" s="43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7"/>
      <c r="AS15" s="58"/>
    </row>
    <row r="16" spans="1:45" x14ac:dyDescent="0.25">
      <c r="A16" s="20">
        <v>12</v>
      </c>
      <c r="B16" s="13"/>
      <c r="C16" s="16" t="str">
        <f>IF($B$16="","",VLOOKUP($B$16,Projekty_metis,2,))</f>
        <v/>
      </c>
      <c r="D16" s="16" t="str">
        <f>IF($B$16="","",VLOOKUP($B$16,Projekty_metis,3,))</f>
        <v/>
      </c>
      <c r="E16" s="14"/>
      <c r="F16" s="16" t="str">
        <f>IF($B$16="","",VLOOKUP(VLOOKUP($B$16,Projekty_metis,7,),Prokostal_tab[],2,FALSE))</f>
        <v/>
      </c>
      <c r="G16" s="13"/>
      <c r="H16" s="16">
        <f>SUM($O$16:$AR$16)</f>
        <v>0</v>
      </c>
      <c r="I16" s="16" t="str">
        <f>IF($B$16="","",76998200)</f>
        <v/>
      </c>
      <c r="J16" s="16" t="str">
        <f>IF(B16="","",$K$16 &amp; RIGHT($C$16,LEN($C$16)-2)&amp;"."&amp;$E$16)</f>
        <v/>
      </c>
      <c r="K16" s="16" t="str">
        <f>IF(B16="","",VLOOKUP(VLOOKUP($I$16,PAxx_list_from_costcenter,1,),PAxx_list_from_costcenter,2,FALSE))</f>
        <v/>
      </c>
      <c r="L16" s="16" t="str">
        <f>IF(B16="","","pater001")</f>
        <v/>
      </c>
      <c r="M16" s="37" t="str">
        <f>IF(B16="","", L16&amp;";"&amp;B16&amp;";"&amp;G16)</f>
        <v/>
      </c>
      <c r="N16" s="44"/>
      <c r="O16" s="43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7"/>
      <c r="AS16" s="58"/>
    </row>
    <row r="17" spans="1:45" x14ac:dyDescent="0.25">
      <c r="A17" s="20">
        <v>13</v>
      </c>
      <c r="B17" s="13"/>
      <c r="C17" s="16" t="str">
        <f>IF($B$17="","",VLOOKUP($B$17,Projekty_metis,2,))</f>
        <v/>
      </c>
      <c r="D17" s="16" t="str">
        <f>IF($B$17="","",VLOOKUP($B$17,Projekty_metis,3,))</f>
        <v/>
      </c>
      <c r="E17" s="14"/>
      <c r="F17" s="16" t="str">
        <f>IF($B$17="","",VLOOKUP(VLOOKUP($B$17,Projekty_metis,7,),Prokostal_tab[],2,FALSE))</f>
        <v/>
      </c>
      <c r="G17" s="13"/>
      <c r="H17" s="16">
        <f>SUM($O$17:$AR$17)</f>
        <v>0</v>
      </c>
      <c r="I17" s="16" t="str">
        <f>IF($B$17="","",76998200)</f>
        <v/>
      </c>
      <c r="J17" s="16" t="str">
        <f>IF(B17="","",$K$17 &amp; RIGHT($C$17,LEN($C$17)-2)&amp;"."&amp;$E$17)</f>
        <v/>
      </c>
      <c r="K17" s="16" t="str">
        <f>IF(B17="","",VLOOKUP(VLOOKUP($I$17,PAxx_list_from_costcenter,1,),PAxx_list_from_costcenter,2,FALSE))</f>
        <v/>
      </c>
      <c r="L17" s="16" t="str">
        <f>IF(B17="","","pater001")</f>
        <v/>
      </c>
      <c r="M17" s="37" t="str">
        <f>IF(B17="","", L17&amp;";"&amp;B17&amp;";"&amp;G17)</f>
        <v/>
      </c>
      <c r="N17" s="44"/>
      <c r="O17" s="43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7"/>
      <c r="AS17" s="58"/>
    </row>
    <row r="18" spans="1:45" x14ac:dyDescent="0.25">
      <c r="A18" s="20">
        <v>14</v>
      </c>
      <c r="B18" s="13"/>
      <c r="C18" s="16" t="str">
        <f>IF($B$18="","",VLOOKUP($B$18,Projekty_metis,2,))</f>
        <v/>
      </c>
      <c r="D18" s="16" t="str">
        <f>IF($B$18="","",VLOOKUP($B$18,Projekty_metis,3,))</f>
        <v/>
      </c>
      <c r="E18" s="14"/>
      <c r="F18" s="16" t="str">
        <f>IF($B$18="","",VLOOKUP(VLOOKUP($B$18,Projekty_metis,7,),Prokostal_tab[],2,FALSE))</f>
        <v/>
      </c>
      <c r="G18" s="13"/>
      <c r="H18" s="16">
        <f>SUM($O$18:$AR$18)</f>
        <v>0</v>
      </c>
      <c r="I18" s="16" t="str">
        <f>IF($B$18="","",76998200)</f>
        <v/>
      </c>
      <c r="J18" s="16" t="str">
        <f>IF(B18="","",$K$18 &amp; RIGHT($C$18,LEN($C$18)-2)&amp;"."&amp;$E$18)</f>
        <v/>
      </c>
      <c r="K18" s="16" t="str">
        <f>IF(B18="","",VLOOKUP(VLOOKUP($I$18,PAxx_list_from_costcenter,1,),PAxx_list_from_costcenter,2,FALSE))</f>
        <v/>
      </c>
      <c r="L18" s="16" t="str">
        <f>IF(B18="","","pater001")</f>
        <v/>
      </c>
      <c r="M18" s="37" t="str">
        <f>IF(B18="","", L18&amp;";"&amp;B18&amp;";"&amp;G18)</f>
        <v/>
      </c>
      <c r="N18" s="44"/>
      <c r="O18" s="43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7"/>
      <c r="AS18" s="58"/>
    </row>
    <row r="19" spans="1:45" x14ac:dyDescent="0.25">
      <c r="A19" s="20">
        <v>15</v>
      </c>
      <c r="B19" s="13"/>
      <c r="C19" s="16" t="str">
        <f>IF($B$19="","",VLOOKUP($B$19,Projekty_metis,2,))</f>
        <v/>
      </c>
      <c r="D19" s="16" t="str">
        <f>IF($B$19="","",VLOOKUP($B$19,Projekty_metis,3,))</f>
        <v/>
      </c>
      <c r="E19" s="14"/>
      <c r="F19" s="16" t="str">
        <f>IF($B$19="","",VLOOKUP(VLOOKUP($B$19,Projekty_metis,7,),Prokostal_tab[],2,FALSE))</f>
        <v/>
      </c>
      <c r="G19" s="13"/>
      <c r="H19" s="16">
        <f>SUM($O$19:$AR$19)</f>
        <v>0</v>
      </c>
      <c r="I19" s="16" t="str">
        <f>IF($B$19="","",76998200)</f>
        <v/>
      </c>
      <c r="J19" s="16" t="str">
        <f>IF(B19="","",$K$19 &amp; RIGHT($C$19,LEN($C$19)-2)&amp;"."&amp;$E$19)</f>
        <v/>
      </c>
      <c r="K19" s="16" t="str">
        <f>IF(B19="","",VLOOKUP(VLOOKUP($I$19,PAxx_list_from_costcenter,1,),PAxx_list_from_costcenter,2,FALSE))</f>
        <v/>
      </c>
      <c r="L19" s="16" t="str">
        <f>IF(B19="","","pater001")</f>
        <v/>
      </c>
      <c r="M19" s="37" t="str">
        <f>IF(B19="","", L19&amp;";"&amp;B19&amp;";"&amp;G19)</f>
        <v/>
      </c>
      <c r="N19" s="44"/>
      <c r="O19" s="43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7"/>
      <c r="AS19" s="58"/>
    </row>
    <row r="20" spans="1:45" x14ac:dyDescent="0.25">
      <c r="A20" s="20">
        <v>16</v>
      </c>
      <c r="B20" s="13"/>
      <c r="C20" s="16" t="str">
        <f>IF($B$20="","",VLOOKUP($B$20,Projekty_metis,2,))</f>
        <v/>
      </c>
      <c r="D20" s="16" t="str">
        <f>IF($B$20="","",VLOOKUP($B$20,Projekty_metis,3,))</f>
        <v/>
      </c>
      <c r="E20" s="14"/>
      <c r="F20" s="16" t="str">
        <f>IF($B$20="","",VLOOKUP(VLOOKUP($B$20,Projekty_metis,7,),Prokostal_tab[],2,FALSE))</f>
        <v/>
      </c>
      <c r="G20" s="13"/>
      <c r="H20" s="16">
        <f>SUM($O$20:$AR$20)</f>
        <v>0</v>
      </c>
      <c r="I20" s="16" t="str">
        <f>IF($B$20="","",76998200)</f>
        <v/>
      </c>
      <c r="J20" s="16" t="str">
        <f>IF(B20="","",$K$20 &amp; RIGHT($C$20,LEN($C$20)-2)&amp;"."&amp;$E$20)</f>
        <v/>
      </c>
      <c r="K20" s="16" t="str">
        <f>IF(B20="","",VLOOKUP(VLOOKUP($I$20,PAxx_list_from_costcenter,1,),PAxx_list_from_costcenter,2,FALSE))</f>
        <v/>
      </c>
      <c r="L20" s="16" t="str">
        <f>IF(B20="","","pater001")</f>
        <v/>
      </c>
      <c r="M20" s="37" t="str">
        <f>IF(B20="","", L20&amp;";"&amp;B20&amp;";"&amp;G20)</f>
        <v/>
      </c>
      <c r="N20" s="44"/>
      <c r="O20" s="43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7"/>
      <c r="AS20" s="58"/>
    </row>
    <row r="21" spans="1:45" x14ac:dyDescent="0.25">
      <c r="A21" s="20">
        <v>17</v>
      </c>
      <c r="B21" s="13"/>
      <c r="C21" s="16" t="str">
        <f>IF($B$21="","",VLOOKUP($B$21,Projekty_metis,2,))</f>
        <v/>
      </c>
      <c r="D21" s="16" t="str">
        <f>IF($B$21="","",VLOOKUP($B$21,Projekty_metis,3,))</f>
        <v/>
      </c>
      <c r="E21" s="14"/>
      <c r="F21" s="16" t="str">
        <f>IF($B$21="","",VLOOKUP(VLOOKUP($B$21,Projekty_metis,7,),Prokostal_tab[],2,FALSE))</f>
        <v/>
      </c>
      <c r="G21" s="13"/>
      <c r="H21" s="16">
        <f>SUM($O$21:$AR$21)</f>
        <v>0</v>
      </c>
      <c r="I21" s="16" t="str">
        <f>IF($B$21="","",76998200)</f>
        <v/>
      </c>
      <c r="J21" s="16" t="str">
        <f>IF(B21="","",$K$21 &amp; RIGHT($C$21,LEN($C$21)-2)&amp;"."&amp;$E$21)</f>
        <v/>
      </c>
      <c r="K21" s="16" t="str">
        <f>IF(B21="","",VLOOKUP(VLOOKUP($I$21,PAxx_list_from_costcenter,1,),PAxx_list_from_costcenter,2,FALSE))</f>
        <v/>
      </c>
      <c r="L21" s="16" t="str">
        <f>IF(B21="","","pater001")</f>
        <v/>
      </c>
      <c r="M21" s="37" t="str">
        <f>IF(B21="","", L21&amp;";"&amp;B21&amp;";"&amp;G21)</f>
        <v/>
      </c>
      <c r="N21" s="44"/>
      <c r="O21" s="43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7"/>
      <c r="AS21" s="58"/>
    </row>
    <row r="22" spans="1:45" x14ac:dyDescent="0.25">
      <c r="A22" s="20">
        <v>18</v>
      </c>
      <c r="B22" s="13"/>
      <c r="C22" s="16" t="str">
        <f>IF($B$22="","",VLOOKUP($B$22,Projekty_metis,2,))</f>
        <v/>
      </c>
      <c r="D22" s="16" t="str">
        <f>IF($B$22="","",VLOOKUP($B$22,Projekty_metis,3,))</f>
        <v/>
      </c>
      <c r="E22" s="14"/>
      <c r="F22" s="16" t="str">
        <f>IF($B$22="","",VLOOKUP(VLOOKUP($B$22,Projekty_metis,7,),Prokostal_tab[],2,FALSE))</f>
        <v/>
      </c>
      <c r="G22" s="13"/>
      <c r="H22" s="16">
        <f>SUM($O$22:$AR$22)</f>
        <v>0</v>
      </c>
      <c r="I22" s="16" t="str">
        <f>IF($B$22="","",76998200)</f>
        <v/>
      </c>
      <c r="J22" s="16" t="str">
        <f>IF(B22="","",$K$22 &amp; RIGHT($C$22,LEN($C$22)-2)&amp;"."&amp;$E$22)</f>
        <v/>
      </c>
      <c r="K22" s="16" t="str">
        <f>IF(B22="","",VLOOKUP(VLOOKUP($I$22,PAxx_list_from_costcenter,1,),PAxx_list_from_costcenter,2,FALSE))</f>
        <v/>
      </c>
      <c r="L22" s="16" t="str">
        <f>IF(B22="","","pater001")</f>
        <v/>
      </c>
      <c r="M22" s="37" t="str">
        <f>IF(B22="","", L22&amp;";"&amp;B22&amp;";"&amp;G22)</f>
        <v/>
      </c>
      <c r="N22" s="44"/>
      <c r="O22" s="43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7"/>
      <c r="AS22" s="58"/>
    </row>
    <row r="23" spans="1:45" x14ac:dyDescent="0.25">
      <c r="A23" s="20">
        <v>19</v>
      </c>
      <c r="B23" s="13"/>
      <c r="C23" s="16" t="str">
        <f>IF($B$23="","",VLOOKUP($B$23,Projekty_metis,2,))</f>
        <v/>
      </c>
      <c r="D23" s="16" t="str">
        <f>IF($B$23="","",VLOOKUP($B$23,Projekty_metis,3,))</f>
        <v/>
      </c>
      <c r="E23" s="14"/>
      <c r="F23" s="16" t="str">
        <f>IF($B$23="","",VLOOKUP(VLOOKUP($B$23,Projekty_metis,7,),Prokostal_tab[],2,FALSE))</f>
        <v/>
      </c>
      <c r="G23" s="13"/>
      <c r="H23" s="16">
        <f>SUM($O$23:$AR$23)</f>
        <v>0</v>
      </c>
      <c r="I23" s="16" t="str">
        <f>IF($B$23="","",76998200)</f>
        <v/>
      </c>
      <c r="J23" s="16" t="str">
        <f>IF(B23="","",$K$23 &amp; RIGHT($C$23,LEN($C$23)-2)&amp;"."&amp;$E$23)</f>
        <v/>
      </c>
      <c r="K23" s="16" t="str">
        <f>IF(B23="","",VLOOKUP(VLOOKUP($I$23,PAxx_list_from_costcenter,1,),PAxx_list_from_costcenter,2,FALSE))</f>
        <v/>
      </c>
      <c r="L23" s="16" t="str">
        <f>IF(B23="","","pater001")</f>
        <v/>
      </c>
      <c r="M23" s="37" t="str">
        <f>IF(B23="","", L23&amp;";"&amp;B23&amp;";"&amp;G23)</f>
        <v/>
      </c>
      <c r="N23" s="44"/>
      <c r="O23" s="43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7"/>
      <c r="AS23" s="58"/>
    </row>
    <row r="24" spans="1:45" x14ac:dyDescent="0.25">
      <c r="A24" s="20">
        <v>20</v>
      </c>
      <c r="B24" s="13"/>
      <c r="C24" s="16" t="str">
        <f>IF($B$24="","",VLOOKUP($B$24,Projekty_metis,2,))</f>
        <v/>
      </c>
      <c r="D24" s="16" t="str">
        <f>IF($B$24="","",VLOOKUP($B$24,Projekty_metis,3,))</f>
        <v/>
      </c>
      <c r="E24" s="14"/>
      <c r="F24" s="16" t="str">
        <f>IF($B$24="","",VLOOKUP(VLOOKUP($B$24,Projekty_metis,7,),Prokostal_tab[],2,FALSE))</f>
        <v/>
      </c>
      <c r="G24" s="13"/>
      <c r="H24" s="16">
        <f>SUM($O$24:$AR$24)</f>
        <v>0</v>
      </c>
      <c r="I24" s="16" t="str">
        <f>IF($B$24="","",76998200)</f>
        <v/>
      </c>
      <c r="J24" s="16" t="str">
        <f>IF(B24="","",$K$24 &amp; RIGHT($C$24,LEN($C$24)-2)&amp;"."&amp;$E$24)</f>
        <v/>
      </c>
      <c r="K24" s="16" t="str">
        <f>IF(B24="","",VLOOKUP(VLOOKUP($I$24,PAxx_list_from_costcenter,1,),PAxx_list_from_costcenter,2,FALSE))</f>
        <v/>
      </c>
      <c r="L24" s="16" t="str">
        <f>IF(B24="","","pater001")</f>
        <v/>
      </c>
      <c r="M24" s="37" t="str">
        <f>IF(B24="","", L24&amp;";"&amp;B24&amp;";"&amp;G24)</f>
        <v/>
      </c>
      <c r="N24" s="44"/>
      <c r="O24" s="43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7"/>
      <c r="AS24" s="58"/>
    </row>
    <row r="25" spans="1:45" x14ac:dyDescent="0.25">
      <c r="A25" s="20">
        <v>21</v>
      </c>
      <c r="B25" s="13"/>
      <c r="C25" s="16" t="str">
        <f>IF($B$25="","",VLOOKUP($B$25,Projekty_metis,2,))</f>
        <v/>
      </c>
      <c r="D25" s="16" t="str">
        <f>IF($B$25="","",VLOOKUP($B$25,Projekty_metis,3,))</f>
        <v/>
      </c>
      <c r="E25" s="14"/>
      <c r="F25" s="16" t="str">
        <f>IF($B$25="","",VLOOKUP(VLOOKUP($B$25,Projekty_metis,7,),Prokostal_tab[],2,FALSE))</f>
        <v/>
      </c>
      <c r="G25" s="13"/>
      <c r="H25" s="16">
        <f>SUM($O$25:$AR$25)</f>
        <v>0</v>
      </c>
      <c r="I25" s="16" t="str">
        <f>IF($B$25="","",76998200)</f>
        <v/>
      </c>
      <c r="J25" s="16" t="str">
        <f>IF(B25="","",$K$25 &amp; RIGHT($C$25,LEN($C$25)-2)&amp;"."&amp;$E$25)</f>
        <v/>
      </c>
      <c r="K25" s="16" t="str">
        <f>IF(B25="","",VLOOKUP(VLOOKUP($I$25,PAxx_list_from_costcenter,1,),PAxx_list_from_costcenter,2,FALSE))</f>
        <v/>
      </c>
      <c r="L25" s="16" t="str">
        <f>IF(B25="","","pater001")</f>
        <v/>
      </c>
      <c r="M25" s="37" t="str">
        <f>IF(B25="","", L25&amp;";"&amp;B25&amp;";"&amp;G25)</f>
        <v/>
      </c>
      <c r="N25" s="44"/>
      <c r="O25" s="43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7"/>
      <c r="AS25" s="58"/>
    </row>
    <row r="26" spans="1:45" x14ac:dyDescent="0.25">
      <c r="A26" s="20">
        <v>22</v>
      </c>
      <c r="B26" s="13"/>
      <c r="C26" s="16" t="str">
        <f>IF($B$26="","",VLOOKUP($B$26,Projekty_metis,2,))</f>
        <v/>
      </c>
      <c r="D26" s="16" t="str">
        <f>IF($B$26="","",VLOOKUP($B$26,Projekty_metis,3,))</f>
        <v/>
      </c>
      <c r="E26" s="14"/>
      <c r="F26" s="16" t="str">
        <f>IF($B$26="","",VLOOKUP(VLOOKUP($B$26,Projekty_metis,7,),Prokostal_tab[],2,FALSE))</f>
        <v/>
      </c>
      <c r="G26" s="13"/>
      <c r="H26" s="16">
        <f>SUM($O$26:$AR$26)</f>
        <v>0</v>
      </c>
      <c r="I26" s="16" t="str">
        <f>IF($B$26="","",76998200)</f>
        <v/>
      </c>
      <c r="J26" s="16" t="str">
        <f>IF(B26="","",$K$26 &amp; RIGHT($C$26,LEN($C$26)-2)&amp;"."&amp;$E$26)</f>
        <v/>
      </c>
      <c r="K26" s="16" t="str">
        <f>IF(B26="","",VLOOKUP(VLOOKUP($I$26,PAxx_list_from_costcenter,1,),PAxx_list_from_costcenter,2,FALSE))</f>
        <v/>
      </c>
      <c r="L26" s="16" t="str">
        <f>IF(B26="","","pater001")</f>
        <v/>
      </c>
      <c r="M26" s="37" t="str">
        <f>IF(B26="","", L26&amp;";"&amp;B26&amp;";"&amp;G26)</f>
        <v/>
      </c>
      <c r="N26" s="44"/>
      <c r="O26" s="43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7"/>
      <c r="AS26" s="58"/>
    </row>
    <row r="27" spans="1:45" x14ac:dyDescent="0.25">
      <c r="A27" s="20">
        <v>23</v>
      </c>
      <c r="B27" s="13"/>
      <c r="C27" s="16" t="str">
        <f>IF($B$27="","",VLOOKUP($B$27,Projekty_metis,2,))</f>
        <v/>
      </c>
      <c r="D27" s="16" t="str">
        <f>IF($B$27="","",VLOOKUP($B$27,Projekty_metis,3,))</f>
        <v/>
      </c>
      <c r="E27" s="14"/>
      <c r="F27" s="16" t="str">
        <f>IF($B$27="","",VLOOKUP(VLOOKUP($B$27,Projekty_metis,7,),Prokostal_tab[],2,FALSE))</f>
        <v/>
      </c>
      <c r="G27" s="13"/>
      <c r="H27" s="16">
        <f>SUM($O$27:$AR$27)</f>
        <v>0</v>
      </c>
      <c r="I27" s="16" t="str">
        <f>IF($B$27="","",76998200)</f>
        <v/>
      </c>
      <c r="J27" s="16" t="str">
        <f>IF(B27="","",$K$27 &amp; RIGHT($C$27,LEN($C$27)-2)&amp;"."&amp;$E$27)</f>
        <v/>
      </c>
      <c r="K27" s="16" t="str">
        <f>IF(B27="","",VLOOKUP(VLOOKUP($I$27,PAxx_list_from_costcenter,1,),PAxx_list_from_costcenter,2,FALSE))</f>
        <v/>
      </c>
      <c r="L27" s="16" t="str">
        <f>IF(B27="","","pater001")</f>
        <v/>
      </c>
      <c r="M27" s="37" t="str">
        <f>IF(B27="","", L27&amp;";"&amp;B27&amp;";"&amp;G27)</f>
        <v/>
      </c>
      <c r="N27" s="44"/>
      <c r="O27" s="43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7"/>
      <c r="AS27" s="58"/>
    </row>
    <row r="28" spans="1:45" x14ac:dyDescent="0.25">
      <c r="A28" s="20">
        <v>24</v>
      </c>
      <c r="B28" s="13"/>
      <c r="C28" s="16" t="str">
        <f>IF($B$28="","",VLOOKUP($B$28,Projekty_metis,2,))</f>
        <v/>
      </c>
      <c r="D28" s="16" t="str">
        <f>IF($B$28="","",VLOOKUP($B$28,Projekty_metis,3,))</f>
        <v/>
      </c>
      <c r="E28" s="14"/>
      <c r="F28" s="16" t="str">
        <f>IF($B$28="","",VLOOKUP(VLOOKUP($B$28,Projekty_metis,7,),Prokostal_tab[],2,FALSE))</f>
        <v/>
      </c>
      <c r="G28" s="13"/>
      <c r="H28" s="16">
        <f>SUM($O$28:$AR$28)</f>
        <v>0</v>
      </c>
      <c r="I28" s="16" t="str">
        <f>IF($B$28="","",76998200)</f>
        <v/>
      </c>
      <c r="J28" s="16" t="str">
        <f>IF(B28="","",$K$28 &amp; RIGHT($C$28,LEN($C$28)-2)&amp;"."&amp;$E$28)</f>
        <v/>
      </c>
      <c r="K28" s="16" t="str">
        <f>IF(B28="","",VLOOKUP(VLOOKUP($I$28,PAxx_list_from_costcenter,1,),PAxx_list_from_costcenter,2,FALSE))</f>
        <v/>
      </c>
      <c r="L28" s="16" t="str">
        <f>IF(B28="","","pater001")</f>
        <v/>
      </c>
      <c r="M28" s="37" t="str">
        <f>IF(B28="","", L28&amp;";"&amp;B28&amp;";"&amp;G28)</f>
        <v/>
      </c>
      <c r="N28" s="44"/>
      <c r="O28" s="43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7"/>
      <c r="AS28" s="58"/>
    </row>
    <row r="29" spans="1:45" x14ac:dyDescent="0.25">
      <c r="A29" s="20">
        <v>25</v>
      </c>
      <c r="B29" s="13"/>
      <c r="C29" s="16" t="str">
        <f>IF($B$29="","",VLOOKUP($B$29,Projekty_metis,2,))</f>
        <v/>
      </c>
      <c r="D29" s="16" t="str">
        <f>IF($B$29="","",VLOOKUP($B$29,Projekty_metis,3,))</f>
        <v/>
      </c>
      <c r="E29" s="14"/>
      <c r="F29" s="16" t="str">
        <f>IF($B$29="","",VLOOKUP(VLOOKUP($B$29,Projekty_metis,7,),Prokostal_tab[],2,FALSE))</f>
        <v/>
      </c>
      <c r="G29" s="13"/>
      <c r="H29" s="16">
        <f>SUM($O$29:$AR$29)</f>
        <v>0</v>
      </c>
      <c r="I29" s="16" t="str">
        <f>IF($B$29="","",76998200)</f>
        <v/>
      </c>
      <c r="J29" s="16" t="str">
        <f>IF(B29="","",$K$29 &amp; RIGHT($C$29,LEN($C$29)-2)&amp;"."&amp;$E$29)</f>
        <v/>
      </c>
      <c r="K29" s="16" t="str">
        <f>IF(B29="","",VLOOKUP(VLOOKUP($I$29,PAxx_list_from_costcenter,1,),PAxx_list_from_costcenter,2,FALSE))</f>
        <v/>
      </c>
      <c r="L29" s="16" t="str">
        <f>IF(B29="","","pater001")</f>
        <v/>
      </c>
      <c r="M29" s="37" t="str">
        <f>IF(B29="","", L29&amp;";"&amp;B29&amp;";"&amp;G29)</f>
        <v/>
      </c>
      <c r="N29" s="44"/>
      <c r="O29" s="43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7"/>
      <c r="AS29" s="58"/>
    </row>
    <row r="30" spans="1:45" x14ac:dyDescent="0.25">
      <c r="A30" s="20">
        <v>26</v>
      </c>
      <c r="B30" s="13"/>
      <c r="C30" s="16" t="str">
        <f>IF($B$30="","",VLOOKUP($B$30,Projekty_metis,2,))</f>
        <v/>
      </c>
      <c r="D30" s="16" t="str">
        <f>IF($B$30="","",VLOOKUP($B$30,Projekty_metis,3,))</f>
        <v/>
      </c>
      <c r="E30" s="14"/>
      <c r="F30" s="16" t="str">
        <f>IF($B$30="","",VLOOKUP(VLOOKUP($B$30,Projekty_metis,7,),Prokostal_tab[],2,FALSE))</f>
        <v/>
      </c>
      <c r="G30" s="13"/>
      <c r="H30" s="16">
        <f>SUM($O$30:$AR$30)</f>
        <v>0</v>
      </c>
      <c r="I30" s="16" t="str">
        <f>IF($B$30="","",76998200)</f>
        <v/>
      </c>
      <c r="J30" s="16" t="str">
        <f>IF(B30="","",$K$30 &amp; RIGHT($C$30,LEN($C$30)-2)&amp;"."&amp;$E$30)</f>
        <v/>
      </c>
      <c r="K30" s="16" t="str">
        <f>IF(B30="","",VLOOKUP(VLOOKUP($I$30,PAxx_list_from_costcenter,1,),PAxx_list_from_costcenter,2,FALSE))</f>
        <v/>
      </c>
      <c r="L30" s="16" t="str">
        <f>IF(B30="","","pater001")</f>
        <v/>
      </c>
      <c r="M30" s="37" t="str">
        <f>IF(B30="","", L30&amp;";"&amp;B30&amp;";"&amp;G30)</f>
        <v/>
      </c>
      <c r="N30" s="44"/>
      <c r="O30" s="43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7"/>
      <c r="AS30" s="58"/>
    </row>
    <row r="31" spans="1:45" x14ac:dyDescent="0.25">
      <c r="A31" s="20">
        <v>27</v>
      </c>
      <c r="B31" s="13"/>
      <c r="C31" s="16" t="str">
        <f>IF($B$31="","",VLOOKUP($B$31,Projekty_metis,2,))</f>
        <v/>
      </c>
      <c r="D31" s="16" t="str">
        <f>IF($B$31="","",VLOOKUP($B$31,Projekty_metis,3,))</f>
        <v/>
      </c>
      <c r="E31" s="14"/>
      <c r="F31" s="16" t="str">
        <f>IF($B$31="","",VLOOKUP(VLOOKUP($B$31,Projekty_metis,7,),Prokostal_tab[],2,FALSE))</f>
        <v/>
      </c>
      <c r="G31" s="13"/>
      <c r="H31" s="16">
        <f>SUM($O$31:$AR$31)</f>
        <v>0</v>
      </c>
      <c r="I31" s="16" t="str">
        <f>IF($B$31="","",76998200)</f>
        <v/>
      </c>
      <c r="J31" s="16" t="str">
        <f>IF(B31="","",$K$31 &amp; RIGHT($C$31,LEN($C$31)-2)&amp;"."&amp;$E$31)</f>
        <v/>
      </c>
      <c r="K31" s="16" t="str">
        <f>IF(B31="","",VLOOKUP(VLOOKUP($I$31,PAxx_list_from_costcenter,1,),PAxx_list_from_costcenter,2,FALSE))</f>
        <v/>
      </c>
      <c r="L31" s="16" t="str">
        <f>IF(B31="","","pater001")</f>
        <v/>
      </c>
      <c r="M31" s="37" t="str">
        <f>IF(B31="","", L31&amp;";"&amp;B31&amp;";"&amp;G31)</f>
        <v/>
      </c>
      <c r="N31" s="44"/>
      <c r="O31" s="43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7"/>
      <c r="AS31" s="58"/>
    </row>
    <row r="32" spans="1:45" x14ac:dyDescent="0.25">
      <c r="A32" s="20">
        <v>28</v>
      </c>
      <c r="B32" s="13"/>
      <c r="C32" s="16" t="str">
        <f>IF($B$32="","",VLOOKUP($B$32,Projekty_metis,2,))</f>
        <v/>
      </c>
      <c r="D32" s="16" t="str">
        <f>IF($B$32="","",VLOOKUP($B$32,Projekty_metis,3,))</f>
        <v/>
      </c>
      <c r="E32" s="14"/>
      <c r="F32" s="16" t="str">
        <f>IF($B$32="","",VLOOKUP(VLOOKUP($B$32,Projekty_metis,7,),Prokostal_tab[],2,FALSE))</f>
        <v/>
      </c>
      <c r="G32" s="13"/>
      <c r="H32" s="16">
        <f>SUM($O$32:$AR$32)</f>
        <v>0</v>
      </c>
      <c r="I32" s="16" t="str">
        <f>IF($B$32="","",76998200)</f>
        <v/>
      </c>
      <c r="J32" s="16" t="str">
        <f>IF(B32="","",$K$32 &amp; RIGHT($C$32,LEN($C$32)-2)&amp;"."&amp;$E$32)</f>
        <v/>
      </c>
      <c r="K32" s="16" t="str">
        <f>IF(B32="","",VLOOKUP(VLOOKUP($I$32,PAxx_list_from_costcenter,1,),PAxx_list_from_costcenter,2,FALSE))</f>
        <v/>
      </c>
      <c r="L32" s="16" t="str">
        <f>IF(B32="","","pater001")</f>
        <v/>
      </c>
      <c r="M32" s="37" t="str">
        <f>IF(B32="","", L32&amp;";"&amp;B32&amp;";"&amp;G32)</f>
        <v/>
      </c>
      <c r="N32" s="44"/>
      <c r="O32" s="43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7"/>
      <c r="AS32" s="58"/>
    </row>
    <row r="33" spans="1:45" x14ac:dyDescent="0.25">
      <c r="A33" s="20">
        <v>29</v>
      </c>
      <c r="B33" s="13"/>
      <c r="C33" s="16" t="str">
        <f>IF($B$33="","",VLOOKUP($B$33,Projekty_metis,2,))</f>
        <v/>
      </c>
      <c r="D33" s="16" t="str">
        <f>IF($B$33="","",VLOOKUP($B$33,Projekty_metis,3,))</f>
        <v/>
      </c>
      <c r="E33" s="14"/>
      <c r="F33" s="16" t="str">
        <f>IF($B$33="","",VLOOKUP(VLOOKUP($B$33,Projekty_metis,7,),Prokostal_tab[],2,FALSE))</f>
        <v/>
      </c>
      <c r="G33" s="13"/>
      <c r="H33" s="16">
        <f>SUM($O$33:$AR$33)</f>
        <v>0</v>
      </c>
      <c r="I33" s="16" t="str">
        <f>IF($B$33="","",76998200)</f>
        <v/>
      </c>
      <c r="J33" s="16" t="str">
        <f>IF(B33="","",$K$33 &amp; RIGHT($C$33,LEN($C$33)-2)&amp;"."&amp;$E$33)</f>
        <v/>
      </c>
      <c r="K33" s="16" t="str">
        <f>IF(B33="","",VLOOKUP(VLOOKUP($I$33,PAxx_list_from_costcenter,1,),PAxx_list_from_costcenter,2,FALSE))</f>
        <v/>
      </c>
      <c r="L33" s="16" t="str">
        <f>IF(B33="","","pater001")</f>
        <v/>
      </c>
      <c r="M33" s="37" t="str">
        <f>IF(B33="","", L33&amp;";"&amp;B33&amp;";"&amp;G33)</f>
        <v/>
      </c>
      <c r="N33" s="44"/>
      <c r="O33" s="43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7"/>
      <c r="AS33" s="58"/>
    </row>
    <row r="34" spans="1:45" ht="15.75" thickBot="1" x14ac:dyDescent="0.3">
      <c r="A34" s="21">
        <v>30</v>
      </c>
      <c r="B34" s="18"/>
      <c r="C34" s="17" t="str">
        <f>IF($B$34="","",VLOOKUP($B$34,Projekty_metis,2,))</f>
        <v/>
      </c>
      <c r="D34" s="17" t="str">
        <f>IF($B$34="","",VLOOKUP($B$34,Projekty_metis,3,))</f>
        <v/>
      </c>
      <c r="E34" s="19"/>
      <c r="F34" s="17" t="str">
        <f>IF($B$34="","",VLOOKUP(VLOOKUP($B$34,Projekty_metis,7,),Prokostal_tab[],2,FALSE))</f>
        <v/>
      </c>
      <c r="G34" s="18"/>
      <c r="H34" s="17">
        <f>SUM($O$34:$AR$34)</f>
        <v>0</v>
      </c>
      <c r="I34" s="17" t="str">
        <f>IF($B$34="","",76998200)</f>
        <v/>
      </c>
      <c r="J34" s="17" t="str">
        <f>IF(B34="","",$K$34 &amp; RIGHT($C$34,LEN($C$34)-2)&amp;"."&amp;$E$34)</f>
        <v/>
      </c>
      <c r="K34" s="17" t="str">
        <f>IF(B34="","",VLOOKUP(VLOOKUP($I$34,PAxx_list_from_costcenter,1,),PAxx_list_from_costcenter,2,FALSE))</f>
        <v/>
      </c>
      <c r="L34" s="17" t="str">
        <f>IF(B34="","","pater001")</f>
        <v/>
      </c>
      <c r="M34" s="38" t="str">
        <f>IF(B34="","", L34&amp;";"&amp;B34&amp;";"&amp;G34)</f>
        <v/>
      </c>
      <c r="N34" s="44"/>
      <c r="O34" s="41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9"/>
      <c r="AS34" s="58"/>
    </row>
    <row r="35" spans="1:45" ht="0.75" customHeight="1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</row>
  </sheetData>
  <mergeCells count="15">
    <mergeCell ref="J1:J4"/>
    <mergeCell ref="K1:K4"/>
    <mergeCell ref="L1:L4"/>
    <mergeCell ref="M1:M4"/>
    <mergeCell ref="N1:N4"/>
    <mergeCell ref="O1:AR1"/>
    <mergeCell ref="A1:A4"/>
    <mergeCell ref="B1:B4"/>
    <mergeCell ref="C1:C4"/>
    <mergeCell ref="D1:D4"/>
    <mergeCell ref="E1:E4"/>
    <mergeCell ref="F1:F4"/>
    <mergeCell ref="G1:G4"/>
    <mergeCell ref="H1:H4"/>
    <mergeCell ref="I1:I4"/>
  </mergeCells>
  <conditionalFormatting sqref="H5">
    <cfRule type="cellIs" dxfId="93" priority="4" operator="equal">
      <formula>0</formula>
    </cfRule>
  </conditionalFormatting>
  <conditionalFormatting sqref="J5">
    <cfRule type="cellIs" dxfId="92" priority="5" operator="equal">
      <formula>0</formula>
    </cfRule>
  </conditionalFormatting>
  <conditionalFormatting sqref="K5">
    <cfRule type="cellIs" dxfId="91" priority="6" operator="equal">
      <formula>0</formula>
    </cfRule>
  </conditionalFormatting>
  <conditionalFormatting sqref="H6">
    <cfRule type="cellIs" dxfId="90" priority="7" operator="equal">
      <formula>0</formula>
    </cfRule>
  </conditionalFormatting>
  <conditionalFormatting sqref="J6">
    <cfRule type="cellIs" dxfId="89" priority="8" operator="equal">
      <formula>0</formula>
    </cfRule>
  </conditionalFormatting>
  <conditionalFormatting sqref="K6">
    <cfRule type="cellIs" dxfId="88" priority="9" operator="equal">
      <formula>0</formula>
    </cfRule>
  </conditionalFormatting>
  <conditionalFormatting sqref="H7">
    <cfRule type="cellIs" dxfId="87" priority="10" operator="equal">
      <formula>0</formula>
    </cfRule>
  </conditionalFormatting>
  <conditionalFormatting sqref="J7">
    <cfRule type="cellIs" dxfId="86" priority="11" operator="equal">
      <formula>0</formula>
    </cfRule>
  </conditionalFormatting>
  <conditionalFormatting sqref="K7">
    <cfRule type="cellIs" dxfId="85" priority="12" operator="equal">
      <formula>0</formula>
    </cfRule>
  </conditionalFormatting>
  <conditionalFormatting sqref="H8">
    <cfRule type="cellIs" dxfId="84" priority="13" operator="equal">
      <formula>0</formula>
    </cfRule>
  </conditionalFormatting>
  <conditionalFormatting sqref="J8">
    <cfRule type="cellIs" dxfId="83" priority="14" operator="equal">
      <formula>0</formula>
    </cfRule>
  </conditionalFormatting>
  <conditionalFormatting sqref="K8">
    <cfRule type="cellIs" dxfId="82" priority="15" operator="equal">
      <formula>0</formula>
    </cfRule>
  </conditionalFormatting>
  <conditionalFormatting sqref="H9">
    <cfRule type="cellIs" dxfId="81" priority="16" operator="equal">
      <formula>0</formula>
    </cfRule>
  </conditionalFormatting>
  <conditionalFormatting sqref="J9">
    <cfRule type="cellIs" dxfId="80" priority="17" operator="equal">
      <formula>0</formula>
    </cfRule>
  </conditionalFormatting>
  <conditionalFormatting sqref="K9">
    <cfRule type="cellIs" dxfId="79" priority="18" operator="equal">
      <formula>0</formula>
    </cfRule>
  </conditionalFormatting>
  <conditionalFormatting sqref="H10">
    <cfRule type="cellIs" dxfId="78" priority="19" operator="equal">
      <formula>0</formula>
    </cfRule>
  </conditionalFormatting>
  <conditionalFormatting sqref="J10">
    <cfRule type="cellIs" dxfId="77" priority="20" operator="equal">
      <formula>0</formula>
    </cfRule>
  </conditionalFormatting>
  <conditionalFormatting sqref="K10">
    <cfRule type="cellIs" dxfId="76" priority="21" operator="equal">
      <formula>0</formula>
    </cfRule>
  </conditionalFormatting>
  <conditionalFormatting sqref="H11">
    <cfRule type="cellIs" dxfId="75" priority="22" operator="equal">
      <formula>0</formula>
    </cfRule>
  </conditionalFormatting>
  <conditionalFormatting sqref="J11">
    <cfRule type="cellIs" dxfId="74" priority="23" operator="equal">
      <formula>0</formula>
    </cfRule>
  </conditionalFormatting>
  <conditionalFormatting sqref="K11">
    <cfRule type="cellIs" dxfId="73" priority="24" operator="equal">
      <formula>0</formula>
    </cfRule>
  </conditionalFormatting>
  <conditionalFormatting sqref="H12">
    <cfRule type="cellIs" dxfId="72" priority="25" operator="equal">
      <formula>0</formula>
    </cfRule>
  </conditionalFormatting>
  <conditionalFormatting sqref="J12">
    <cfRule type="cellIs" dxfId="71" priority="26" operator="equal">
      <formula>0</formula>
    </cfRule>
  </conditionalFormatting>
  <conditionalFormatting sqref="K12">
    <cfRule type="cellIs" dxfId="70" priority="27" operator="equal">
      <formula>0</formula>
    </cfRule>
  </conditionalFormatting>
  <conditionalFormatting sqref="H13">
    <cfRule type="cellIs" dxfId="69" priority="28" operator="equal">
      <formula>0</formula>
    </cfRule>
  </conditionalFormatting>
  <conditionalFormatting sqref="J13">
    <cfRule type="cellIs" dxfId="68" priority="29" operator="equal">
      <formula>0</formula>
    </cfRule>
  </conditionalFormatting>
  <conditionalFormatting sqref="K13">
    <cfRule type="cellIs" dxfId="67" priority="30" operator="equal">
      <formula>0</formula>
    </cfRule>
  </conditionalFormatting>
  <conditionalFormatting sqref="H14">
    <cfRule type="cellIs" dxfId="66" priority="31" operator="equal">
      <formula>0</formula>
    </cfRule>
  </conditionalFormatting>
  <conditionalFormatting sqref="J14">
    <cfRule type="cellIs" dxfId="65" priority="32" operator="equal">
      <formula>0</formula>
    </cfRule>
  </conditionalFormatting>
  <conditionalFormatting sqref="K14">
    <cfRule type="cellIs" dxfId="64" priority="33" operator="equal">
      <formula>0</formula>
    </cfRule>
  </conditionalFormatting>
  <conditionalFormatting sqref="H15">
    <cfRule type="cellIs" dxfId="63" priority="34" operator="equal">
      <formula>0</formula>
    </cfRule>
  </conditionalFormatting>
  <conditionalFormatting sqref="J15">
    <cfRule type="cellIs" dxfId="62" priority="35" operator="equal">
      <formula>0</formula>
    </cfRule>
  </conditionalFormatting>
  <conditionalFormatting sqref="K15">
    <cfRule type="cellIs" dxfId="61" priority="36" operator="equal">
      <formula>0</formula>
    </cfRule>
  </conditionalFormatting>
  <conditionalFormatting sqref="H16">
    <cfRule type="cellIs" dxfId="60" priority="37" operator="equal">
      <formula>0</formula>
    </cfRule>
  </conditionalFormatting>
  <conditionalFormatting sqref="J16">
    <cfRule type="cellIs" dxfId="59" priority="38" operator="equal">
      <formula>0</formula>
    </cfRule>
  </conditionalFormatting>
  <conditionalFormatting sqref="K16">
    <cfRule type="cellIs" dxfId="58" priority="39" operator="equal">
      <formula>0</formula>
    </cfRule>
  </conditionalFormatting>
  <conditionalFormatting sqref="H17">
    <cfRule type="cellIs" dxfId="57" priority="40" operator="equal">
      <formula>0</formula>
    </cfRule>
  </conditionalFormatting>
  <conditionalFormatting sqref="J17">
    <cfRule type="cellIs" dxfId="56" priority="41" operator="equal">
      <formula>0</formula>
    </cfRule>
  </conditionalFormatting>
  <conditionalFormatting sqref="K17">
    <cfRule type="cellIs" dxfId="55" priority="42" operator="equal">
      <formula>0</formula>
    </cfRule>
  </conditionalFormatting>
  <conditionalFormatting sqref="H18">
    <cfRule type="cellIs" dxfId="54" priority="43" operator="equal">
      <formula>0</formula>
    </cfRule>
  </conditionalFormatting>
  <conditionalFormatting sqref="J18">
    <cfRule type="cellIs" dxfId="53" priority="44" operator="equal">
      <formula>0</formula>
    </cfRule>
  </conditionalFormatting>
  <conditionalFormatting sqref="K18">
    <cfRule type="cellIs" dxfId="52" priority="45" operator="equal">
      <formula>0</formula>
    </cfRule>
  </conditionalFormatting>
  <conditionalFormatting sqref="H19">
    <cfRule type="cellIs" dxfId="51" priority="46" operator="equal">
      <formula>0</formula>
    </cfRule>
  </conditionalFormatting>
  <conditionalFormatting sqref="J19">
    <cfRule type="cellIs" dxfId="50" priority="47" operator="equal">
      <formula>0</formula>
    </cfRule>
  </conditionalFormatting>
  <conditionalFormatting sqref="K19">
    <cfRule type="cellIs" dxfId="49" priority="48" operator="equal">
      <formula>0</formula>
    </cfRule>
  </conditionalFormatting>
  <conditionalFormatting sqref="H20">
    <cfRule type="cellIs" dxfId="48" priority="49" operator="equal">
      <formula>0</formula>
    </cfRule>
  </conditionalFormatting>
  <conditionalFormatting sqref="J20">
    <cfRule type="cellIs" dxfId="47" priority="50" operator="equal">
      <formula>0</formula>
    </cfRule>
  </conditionalFormatting>
  <conditionalFormatting sqref="K20">
    <cfRule type="cellIs" dxfId="46" priority="51" operator="equal">
      <formula>0</formula>
    </cfRule>
  </conditionalFormatting>
  <conditionalFormatting sqref="H21">
    <cfRule type="cellIs" dxfId="45" priority="52" operator="equal">
      <formula>0</formula>
    </cfRule>
  </conditionalFormatting>
  <conditionalFormatting sqref="J21">
    <cfRule type="cellIs" dxfId="44" priority="53" operator="equal">
      <formula>0</formula>
    </cfRule>
  </conditionalFormatting>
  <conditionalFormatting sqref="K21">
    <cfRule type="cellIs" dxfId="43" priority="54" operator="equal">
      <formula>0</formula>
    </cfRule>
  </conditionalFormatting>
  <conditionalFormatting sqref="H22">
    <cfRule type="cellIs" dxfId="42" priority="55" operator="equal">
      <formula>0</formula>
    </cfRule>
  </conditionalFormatting>
  <conditionalFormatting sqref="J22">
    <cfRule type="cellIs" dxfId="41" priority="56" operator="equal">
      <formula>0</formula>
    </cfRule>
  </conditionalFormatting>
  <conditionalFormatting sqref="K22">
    <cfRule type="cellIs" dxfId="40" priority="57" operator="equal">
      <formula>0</formula>
    </cfRule>
  </conditionalFormatting>
  <conditionalFormatting sqref="H23">
    <cfRule type="cellIs" dxfId="39" priority="58" operator="equal">
      <formula>0</formula>
    </cfRule>
  </conditionalFormatting>
  <conditionalFormatting sqref="J23">
    <cfRule type="cellIs" dxfId="38" priority="59" operator="equal">
      <formula>0</formula>
    </cfRule>
  </conditionalFormatting>
  <conditionalFormatting sqref="K23">
    <cfRule type="cellIs" dxfId="37" priority="60" operator="equal">
      <formula>0</formula>
    </cfRule>
  </conditionalFormatting>
  <conditionalFormatting sqref="H24">
    <cfRule type="cellIs" dxfId="36" priority="61" operator="equal">
      <formula>0</formula>
    </cfRule>
  </conditionalFormatting>
  <conditionalFormatting sqref="J24">
    <cfRule type="cellIs" dxfId="35" priority="62" operator="equal">
      <formula>0</formula>
    </cfRule>
  </conditionalFormatting>
  <conditionalFormatting sqref="K24">
    <cfRule type="cellIs" dxfId="34" priority="63" operator="equal">
      <formula>0</formula>
    </cfRule>
  </conditionalFormatting>
  <conditionalFormatting sqref="H25">
    <cfRule type="cellIs" dxfId="33" priority="64" operator="equal">
      <formula>0</formula>
    </cfRule>
  </conditionalFormatting>
  <conditionalFormatting sqref="J25">
    <cfRule type="cellIs" dxfId="32" priority="65" operator="equal">
      <formula>0</formula>
    </cfRule>
  </conditionalFormatting>
  <conditionalFormatting sqref="K25">
    <cfRule type="cellIs" dxfId="31" priority="66" operator="equal">
      <formula>0</formula>
    </cfRule>
  </conditionalFormatting>
  <conditionalFormatting sqref="H26">
    <cfRule type="cellIs" dxfId="30" priority="67" operator="equal">
      <formula>0</formula>
    </cfRule>
  </conditionalFormatting>
  <conditionalFormatting sqref="J26">
    <cfRule type="cellIs" dxfId="29" priority="68" operator="equal">
      <formula>0</formula>
    </cfRule>
  </conditionalFormatting>
  <conditionalFormatting sqref="K26">
    <cfRule type="cellIs" dxfId="28" priority="69" operator="equal">
      <formula>0</formula>
    </cfRule>
  </conditionalFormatting>
  <conditionalFormatting sqref="H27">
    <cfRule type="cellIs" dxfId="27" priority="70" operator="equal">
      <formula>0</formula>
    </cfRule>
  </conditionalFormatting>
  <conditionalFormatting sqref="J27">
    <cfRule type="cellIs" dxfId="26" priority="71" operator="equal">
      <formula>0</formula>
    </cfRule>
  </conditionalFormatting>
  <conditionalFormatting sqref="K27">
    <cfRule type="cellIs" dxfId="25" priority="72" operator="equal">
      <formula>0</formula>
    </cfRule>
  </conditionalFormatting>
  <conditionalFormatting sqref="H28">
    <cfRule type="cellIs" dxfId="24" priority="73" operator="equal">
      <formula>0</formula>
    </cfRule>
  </conditionalFormatting>
  <conditionalFormatting sqref="J28">
    <cfRule type="cellIs" dxfId="23" priority="74" operator="equal">
      <formula>0</formula>
    </cfRule>
  </conditionalFormatting>
  <conditionalFormatting sqref="K28">
    <cfRule type="cellIs" dxfId="22" priority="75" operator="equal">
      <formula>0</formula>
    </cfRule>
  </conditionalFormatting>
  <conditionalFormatting sqref="H29">
    <cfRule type="cellIs" dxfId="21" priority="76" operator="equal">
      <formula>0</formula>
    </cfRule>
  </conditionalFormatting>
  <conditionalFormatting sqref="J29">
    <cfRule type="cellIs" dxfId="20" priority="77" operator="equal">
      <formula>0</formula>
    </cfRule>
  </conditionalFormatting>
  <conditionalFormatting sqref="K29">
    <cfRule type="cellIs" dxfId="19" priority="78" operator="equal">
      <formula>0</formula>
    </cfRule>
  </conditionalFormatting>
  <conditionalFormatting sqref="H30">
    <cfRule type="cellIs" dxfId="18" priority="79" operator="equal">
      <formula>0</formula>
    </cfRule>
  </conditionalFormatting>
  <conditionalFormatting sqref="J30">
    <cfRule type="cellIs" dxfId="17" priority="80" operator="equal">
      <formula>0</formula>
    </cfRule>
  </conditionalFormatting>
  <conditionalFormatting sqref="K30">
    <cfRule type="cellIs" dxfId="16" priority="81" operator="equal">
      <formula>0</formula>
    </cfRule>
  </conditionalFormatting>
  <conditionalFormatting sqref="H31">
    <cfRule type="cellIs" dxfId="15" priority="82" operator="equal">
      <formula>0</formula>
    </cfRule>
  </conditionalFormatting>
  <conditionalFormatting sqref="J31">
    <cfRule type="cellIs" dxfId="14" priority="83" operator="equal">
      <formula>0</formula>
    </cfRule>
  </conditionalFormatting>
  <conditionalFormatting sqref="K31">
    <cfRule type="cellIs" dxfId="13" priority="84" operator="equal">
      <formula>0</formula>
    </cfRule>
  </conditionalFormatting>
  <conditionalFormatting sqref="H32">
    <cfRule type="cellIs" dxfId="12" priority="85" operator="equal">
      <formula>0</formula>
    </cfRule>
  </conditionalFormatting>
  <conditionalFormatting sqref="J32">
    <cfRule type="cellIs" dxfId="11" priority="86" operator="equal">
      <formula>0</formula>
    </cfRule>
  </conditionalFormatting>
  <conditionalFormatting sqref="K32">
    <cfRule type="cellIs" dxfId="10" priority="87" operator="equal">
      <formula>0</formula>
    </cfRule>
  </conditionalFormatting>
  <conditionalFormatting sqref="H33">
    <cfRule type="cellIs" dxfId="9" priority="88" operator="equal">
      <formula>0</formula>
    </cfRule>
  </conditionalFormatting>
  <conditionalFormatting sqref="J33">
    <cfRule type="cellIs" dxfId="8" priority="89" operator="equal">
      <formula>0</formula>
    </cfRule>
  </conditionalFormatting>
  <conditionalFormatting sqref="K33">
    <cfRule type="cellIs" dxfId="7" priority="90" operator="equal">
      <formula>0</formula>
    </cfRule>
  </conditionalFormatting>
  <conditionalFormatting sqref="H34">
    <cfRule type="cellIs" dxfId="6" priority="91" operator="equal">
      <formula>0</formula>
    </cfRule>
  </conditionalFormatting>
  <conditionalFormatting sqref="J34">
    <cfRule type="cellIs" dxfId="5" priority="92" operator="equal">
      <formula>0</formula>
    </cfRule>
  </conditionalFormatting>
  <conditionalFormatting sqref="K34">
    <cfRule type="cellIs" dxfId="4" priority="93" operator="equal">
      <formula>0</formula>
    </cfRule>
  </conditionalFormatting>
  <conditionalFormatting sqref="O2:AR34">
    <cfRule type="expression" dxfId="3" priority="94">
      <formula>OR(WEEKDAY(O$2,2)=7,WEEKDAY(O$2,2)=6)</formula>
    </cfRule>
  </conditionalFormatting>
  <conditionalFormatting sqref="A1:AS34">
    <cfRule type="expression" dxfId="2" priority="3" stopIfTrue="1">
      <formula>ROW()=CELL("row")</formula>
    </cfRule>
    <cfRule type="expression" dxfId="1" priority="2" stopIfTrue="1">
      <formula>COLUMN()=CELL("col")</formula>
    </cfRule>
  </conditionalFormatting>
  <conditionalFormatting sqref="O4:AR4">
    <cfRule type="cellIs" dxfId="0" priority="1" operator="greaterThanOrEqual">
      <formula>8</formula>
    </cfRule>
  </conditionalFormatting>
  <dataValidations count="91">
    <dataValidation type="list" allowBlank="1" showInputMessage="1" sqref="F5">
      <formula1>ProKostal_GWs</formula1>
    </dataValidation>
    <dataValidation type="list" allowBlank="1" showInputMessage="1" sqref="B5">
      <formula1>Validation_list_platforms</formula1>
    </dataValidation>
    <dataValidation type="list" allowBlank="1" showInputMessage="1" showErrorMessage="1" sqref="E5">
      <formula1>WBS_Elements</formula1>
    </dataValidation>
    <dataValidation type="list" allowBlank="1" showInputMessage="1" sqref="F6">
      <formula1>ProKostal_GWs</formula1>
    </dataValidation>
    <dataValidation type="list" allowBlank="1" showInputMessage="1" sqref="B6">
      <formula1>Validation_list_platforms</formula1>
    </dataValidation>
    <dataValidation type="list" allowBlank="1" showInputMessage="1" showErrorMessage="1" sqref="E6">
      <formula1>WBS_Elements</formula1>
    </dataValidation>
    <dataValidation type="list" allowBlank="1" showInputMessage="1" sqref="F7">
      <formula1>ProKostal_GWs</formula1>
    </dataValidation>
    <dataValidation type="list" allowBlank="1" showInputMessage="1" sqref="B7">
      <formula1>Validation_list_platforms</formula1>
    </dataValidation>
    <dataValidation type="list" allowBlank="1" showInputMessage="1" showErrorMessage="1" sqref="E7">
      <formula1>WBS_Elements</formula1>
    </dataValidation>
    <dataValidation type="list" allowBlank="1" showInputMessage="1" sqref="F8">
      <formula1>ProKostal_GWs</formula1>
    </dataValidation>
    <dataValidation type="list" allowBlank="1" showInputMessage="1" sqref="B8">
      <formula1>Validation_list_platforms</formula1>
    </dataValidation>
    <dataValidation type="list" allowBlank="1" showInputMessage="1" showErrorMessage="1" sqref="E8">
      <formula1>WBS_Elements</formula1>
    </dataValidation>
    <dataValidation type="list" allowBlank="1" showInputMessage="1" sqref="F9">
      <formula1>ProKostal_GWs</formula1>
    </dataValidation>
    <dataValidation type="list" allowBlank="1" showInputMessage="1" sqref="B9">
      <formula1>Validation_list_platforms</formula1>
    </dataValidation>
    <dataValidation type="list" allowBlank="1" showInputMessage="1" showErrorMessage="1" sqref="E9">
      <formula1>WBS_Elements</formula1>
    </dataValidation>
    <dataValidation type="list" allowBlank="1" showInputMessage="1" sqref="F10">
      <formula1>ProKostal_GWs</formula1>
    </dataValidation>
    <dataValidation type="list" allowBlank="1" showInputMessage="1" sqref="B10">
      <formula1>Validation_list_platforms</formula1>
    </dataValidation>
    <dataValidation type="list" allowBlank="1" showInputMessage="1" showErrorMessage="1" sqref="E10">
      <formula1>WBS_Elements</formula1>
    </dataValidation>
    <dataValidation type="list" allowBlank="1" showInputMessage="1" sqref="F11">
      <formula1>ProKostal_GWs</formula1>
    </dataValidation>
    <dataValidation type="list" allowBlank="1" showInputMessage="1" sqref="B11">
      <formula1>Validation_list_platforms</formula1>
    </dataValidation>
    <dataValidation type="list" allowBlank="1" showInputMessage="1" showErrorMessage="1" sqref="E11">
      <formula1>WBS_Elements</formula1>
    </dataValidation>
    <dataValidation type="list" allowBlank="1" showInputMessage="1" sqref="F12">
      <formula1>ProKostal_GWs</formula1>
    </dataValidation>
    <dataValidation type="list" allowBlank="1" showInputMessage="1" sqref="B12">
      <formula1>Validation_list_platforms</formula1>
    </dataValidation>
    <dataValidation type="list" allowBlank="1" showInputMessage="1" showErrorMessage="1" sqref="E12">
      <formula1>WBS_Elements</formula1>
    </dataValidation>
    <dataValidation type="list" allowBlank="1" showInputMessage="1" sqref="F13">
      <formula1>ProKostal_GWs</formula1>
    </dataValidation>
    <dataValidation type="list" allowBlank="1" showInputMessage="1" sqref="B13">
      <formula1>Validation_list_platforms</formula1>
    </dataValidation>
    <dataValidation type="list" allowBlank="1" showInputMessage="1" showErrorMessage="1" sqref="E13">
      <formula1>WBS_Elements</formula1>
    </dataValidation>
    <dataValidation type="list" allowBlank="1" showInputMessage="1" sqref="F14">
      <formula1>ProKostal_GWs</formula1>
    </dataValidation>
    <dataValidation type="list" allowBlank="1" showInputMessage="1" sqref="B14">
      <formula1>Validation_list_platforms</formula1>
    </dataValidation>
    <dataValidation type="list" allowBlank="1" showInputMessage="1" showErrorMessage="1" sqref="E14">
      <formula1>WBS_Elements</formula1>
    </dataValidation>
    <dataValidation type="list" allowBlank="1" showInputMessage="1" sqref="F15">
      <formula1>ProKostal_GWs</formula1>
    </dataValidation>
    <dataValidation type="list" allowBlank="1" showInputMessage="1" sqref="B15">
      <formula1>Validation_list_platforms</formula1>
    </dataValidation>
    <dataValidation type="list" allowBlank="1" showInputMessage="1" showErrorMessage="1" sqref="E15">
      <formula1>WBS_Elements</formula1>
    </dataValidation>
    <dataValidation type="list" allowBlank="1" showInputMessage="1" sqref="F16">
      <formula1>ProKostal_GWs</formula1>
    </dataValidation>
    <dataValidation type="list" allowBlank="1" showInputMessage="1" sqref="B16">
      <formula1>Validation_list_platforms</formula1>
    </dataValidation>
    <dataValidation type="list" allowBlank="1" showInputMessage="1" showErrorMessage="1" sqref="E16">
      <formula1>WBS_Elements</formula1>
    </dataValidation>
    <dataValidation type="list" allowBlank="1" showInputMessage="1" sqref="F17">
      <formula1>ProKostal_GWs</formula1>
    </dataValidation>
    <dataValidation type="list" allowBlank="1" showInputMessage="1" sqref="B17">
      <formula1>Validation_list_platforms</formula1>
    </dataValidation>
    <dataValidation type="list" allowBlank="1" showInputMessage="1" showErrorMessage="1" sqref="E17">
      <formula1>WBS_Elements</formula1>
    </dataValidation>
    <dataValidation type="list" allowBlank="1" showInputMessage="1" sqref="F18">
      <formula1>ProKostal_GWs</formula1>
    </dataValidation>
    <dataValidation type="list" allowBlank="1" showInputMessage="1" sqref="B18">
      <formula1>Validation_list_platforms</formula1>
    </dataValidation>
    <dataValidation type="list" allowBlank="1" showInputMessage="1" showErrorMessage="1" sqref="E18">
      <formula1>WBS_Elements</formula1>
    </dataValidation>
    <dataValidation type="list" allowBlank="1" showInputMessage="1" sqref="F19">
      <formula1>ProKostal_GWs</formula1>
    </dataValidation>
    <dataValidation type="list" allowBlank="1" showInputMessage="1" sqref="B19">
      <formula1>Validation_list_platforms</formula1>
    </dataValidation>
    <dataValidation type="list" allowBlank="1" showInputMessage="1" showErrorMessage="1" sqref="E19">
      <formula1>WBS_Elements</formula1>
    </dataValidation>
    <dataValidation type="list" allowBlank="1" showInputMessage="1" sqref="F20">
      <formula1>ProKostal_GWs</formula1>
    </dataValidation>
    <dataValidation type="list" allowBlank="1" showInputMessage="1" sqref="B20">
      <formula1>Validation_list_platforms</formula1>
    </dataValidation>
    <dataValidation type="list" allowBlank="1" showInputMessage="1" showErrorMessage="1" sqref="E20">
      <formula1>WBS_Elements</formula1>
    </dataValidation>
    <dataValidation type="list" allowBlank="1" showInputMessage="1" sqref="F21">
      <formula1>ProKostal_GWs</formula1>
    </dataValidation>
    <dataValidation type="list" allowBlank="1" showInputMessage="1" sqref="B21">
      <formula1>Validation_list_platforms</formula1>
    </dataValidation>
    <dataValidation type="list" allowBlank="1" showInputMessage="1" showErrorMessage="1" sqref="E21">
      <formula1>WBS_Elements</formula1>
    </dataValidation>
    <dataValidation type="list" allowBlank="1" showInputMessage="1" sqref="F22">
      <formula1>ProKostal_GWs</formula1>
    </dataValidation>
    <dataValidation type="list" allowBlank="1" showInputMessage="1" sqref="B22">
      <formula1>Validation_list_platforms</formula1>
    </dataValidation>
    <dataValidation type="list" allowBlank="1" showInputMessage="1" showErrorMessage="1" sqref="E22">
      <formula1>WBS_Elements</formula1>
    </dataValidation>
    <dataValidation type="list" allowBlank="1" showInputMessage="1" sqref="F23">
      <formula1>ProKostal_GWs</formula1>
    </dataValidation>
    <dataValidation type="list" allowBlank="1" showInputMessage="1" sqref="B23">
      <formula1>Validation_list_platforms</formula1>
    </dataValidation>
    <dataValidation type="list" allowBlank="1" showInputMessage="1" showErrorMessage="1" sqref="E23">
      <formula1>WBS_Elements</formula1>
    </dataValidation>
    <dataValidation type="list" allowBlank="1" showInputMessage="1" sqref="F24">
      <formula1>ProKostal_GWs</formula1>
    </dataValidation>
    <dataValidation type="list" allowBlank="1" showInputMessage="1" sqref="B24">
      <formula1>Validation_list_platforms</formula1>
    </dataValidation>
    <dataValidation type="list" allowBlank="1" showInputMessage="1" showErrorMessage="1" sqref="E24">
      <formula1>WBS_Elements</formula1>
    </dataValidation>
    <dataValidation type="list" allowBlank="1" showInputMessage="1" sqref="F25">
      <formula1>ProKostal_GWs</formula1>
    </dataValidation>
    <dataValidation type="list" allowBlank="1" showInputMessage="1" sqref="B25">
      <formula1>Validation_list_platforms</formula1>
    </dataValidation>
    <dataValidation type="list" allowBlank="1" showInputMessage="1" showErrorMessage="1" sqref="E25">
      <formula1>WBS_Elements</formula1>
    </dataValidation>
    <dataValidation type="list" allowBlank="1" showInputMessage="1" sqref="F26">
      <formula1>ProKostal_GWs</formula1>
    </dataValidation>
    <dataValidation type="list" allowBlank="1" showInputMessage="1" sqref="B26">
      <formula1>Validation_list_platforms</formula1>
    </dataValidation>
    <dataValidation type="list" allowBlank="1" showInputMessage="1" showErrorMessage="1" sqref="E26">
      <formula1>WBS_Elements</formula1>
    </dataValidation>
    <dataValidation type="list" allowBlank="1" showInputMessage="1" sqref="F27">
      <formula1>ProKostal_GWs</formula1>
    </dataValidation>
    <dataValidation type="list" allowBlank="1" showInputMessage="1" sqref="B27">
      <formula1>Validation_list_platforms</formula1>
    </dataValidation>
    <dataValidation type="list" allowBlank="1" showInputMessage="1" showErrorMessage="1" sqref="E27">
      <formula1>WBS_Elements</formula1>
    </dataValidation>
    <dataValidation type="list" allowBlank="1" showInputMessage="1" sqref="F28">
      <formula1>ProKostal_GWs</formula1>
    </dataValidation>
    <dataValidation type="list" allowBlank="1" showInputMessage="1" sqref="B28">
      <formula1>Validation_list_platforms</formula1>
    </dataValidation>
    <dataValidation type="list" allowBlank="1" showInputMessage="1" showErrorMessage="1" sqref="E28">
      <formula1>WBS_Elements</formula1>
    </dataValidation>
    <dataValidation type="list" allowBlank="1" showInputMessage="1" sqref="F29">
      <formula1>ProKostal_GWs</formula1>
    </dataValidation>
    <dataValidation type="list" allowBlank="1" showInputMessage="1" sqref="B29">
      <formula1>Validation_list_platforms</formula1>
    </dataValidation>
    <dataValidation type="list" allowBlank="1" showInputMessage="1" showErrorMessage="1" sqref="E29">
      <formula1>WBS_Elements</formula1>
    </dataValidation>
    <dataValidation type="list" allowBlank="1" showInputMessage="1" sqref="F30">
      <formula1>ProKostal_GWs</formula1>
    </dataValidation>
    <dataValidation type="list" allowBlank="1" showInputMessage="1" sqref="B30">
      <formula1>Validation_list_platforms</formula1>
    </dataValidation>
    <dataValidation type="list" allowBlank="1" showInputMessage="1" showErrorMessage="1" sqref="E30">
      <formula1>WBS_Elements</formula1>
    </dataValidation>
    <dataValidation type="list" allowBlank="1" showInputMessage="1" sqref="F31">
      <formula1>ProKostal_GWs</formula1>
    </dataValidation>
    <dataValidation type="list" allowBlank="1" showInputMessage="1" sqref="B31">
      <formula1>Validation_list_platforms</formula1>
    </dataValidation>
    <dataValidation type="list" allowBlank="1" showInputMessage="1" showErrorMessage="1" sqref="E31">
      <formula1>WBS_Elements</formula1>
    </dataValidation>
    <dataValidation type="list" allowBlank="1" showInputMessage="1" sqref="F32">
      <formula1>ProKostal_GWs</formula1>
    </dataValidation>
    <dataValidation type="list" allowBlank="1" showInputMessage="1" sqref="B32">
      <formula1>Validation_list_platforms</formula1>
    </dataValidation>
    <dataValidation type="list" allowBlank="1" showInputMessage="1" showErrorMessage="1" sqref="E32">
      <formula1>WBS_Elements</formula1>
    </dataValidation>
    <dataValidation type="list" allowBlank="1" showInputMessage="1" sqref="F33">
      <formula1>ProKostal_GWs</formula1>
    </dataValidation>
    <dataValidation type="list" allowBlank="1" showInputMessage="1" sqref="B33">
      <formula1>Validation_list_platforms</formula1>
    </dataValidation>
    <dataValidation type="list" allowBlank="1" showInputMessage="1" showErrorMessage="1" sqref="E33">
      <formula1>WBS_Elements</formula1>
    </dataValidation>
    <dataValidation type="list" allowBlank="1" showInputMessage="1" sqref="F34">
      <formula1>ProKostal_GWs</formula1>
    </dataValidation>
    <dataValidation type="list" allowBlank="1" showInputMessage="1" sqref="B34">
      <formula1>Validation_list_platforms</formula1>
    </dataValidation>
    <dataValidation type="list" allowBlank="1" showInputMessage="1" showErrorMessage="1" sqref="E34">
      <formula1>WBS_Elements</formula1>
    </dataValidation>
    <dataValidation type="whole" allowBlank="1" showInputMessage="1" showErrorMessage="1" errorTitle="Wrong format or value" error="You must enter a whole number from 0 to 24" sqref="O4:AR34">
      <formula1>0</formula1>
      <formula2>24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Projekty</vt:lpstr>
      <vt:lpstr>DATA</vt:lpstr>
      <vt:lpstr>ChangeLog</vt:lpstr>
      <vt:lpstr>09 21</vt:lpstr>
      <vt:lpstr>'09 21'!Costcenter_list</vt:lpstr>
      <vt:lpstr>Costcenter_list</vt:lpstr>
      <vt:lpstr>'09 21'!PAxx_list_from_costcenter</vt:lpstr>
      <vt:lpstr>PAxx_list_from_costcenter</vt:lpstr>
      <vt:lpstr>'09 21'!Platforma_metis</vt:lpstr>
      <vt:lpstr>Platforma_metis</vt:lpstr>
      <vt:lpstr>'09 21'!Projekty_metis</vt:lpstr>
      <vt:lpstr>Projekty_metis</vt:lpstr>
      <vt:lpstr>Prokostal</vt:lpstr>
      <vt:lpstr>ProKostal_GW_cisly</vt:lpstr>
      <vt:lpstr>ProKostal_GWs</vt:lpstr>
      <vt:lpstr>ProKostal_tab_pro_vyhledaní</vt:lpstr>
      <vt:lpstr>'09 21'!Validation_list_platforms</vt:lpstr>
      <vt:lpstr>Validation_list_platforms</vt:lpstr>
      <vt:lpstr>Validation_list_vyhledavane</vt:lpstr>
      <vt:lpstr>WBS_Elements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Patera, Petr</dc:creator>
  <cp:lastModifiedBy>Patera, Petr</cp:lastModifiedBy>
  <cp:lastPrinted>2020-05-05T10:33:10Z</cp:lastPrinted>
  <dcterms:created xsi:type="dcterms:W3CDTF">2006-09-16T00:00:00Z</dcterms:created>
  <dcterms:modified xsi:type="dcterms:W3CDTF">2021-09-30T07:03:05Z</dcterms:modified>
</cp:coreProperties>
</file>