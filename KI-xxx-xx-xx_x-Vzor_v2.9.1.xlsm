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embeddings/oleObject4.bin" ContentType="application/vnd.openxmlformats-officedocument.oleObject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Q\AQP\00_Plany_Kontrol\054_AQT_predseriove_projekty\999_vzory_dokumentu\"/>
    </mc:Choice>
  </mc:AlternateContent>
  <bookViews>
    <workbookView xWindow="-120" yWindow="-120" windowWidth="29040" windowHeight="17640"/>
  </bookViews>
  <sheets>
    <sheet name="KI" sheetId="1" r:id="rId1"/>
    <sheet name="Change_log" sheetId="4" state="hidden" r:id="rId2"/>
    <sheet name="ATR_Karta" sheetId="2" state="hidden" r:id="rId3"/>
    <sheet name="Audit_Karta" sheetId="5" state="hidden" r:id="rId4"/>
    <sheet name="VKZ_Karta" sheetId="3" state="hidden" r:id="rId5"/>
  </sheets>
  <functionGroups builtInGroupCount="18"/>
  <definedNames>
    <definedName name="_xlnm.Print_Area" localSheetId="2">ATR_Karta!$A$1:$AK$81</definedName>
    <definedName name="_xlnm.Print_Area" localSheetId="3">Audit_Karta!$A$1:$AK$159</definedName>
    <definedName name="_xlnm.Print_Area" localSheetId="0">KI!$B$2:$S$99</definedName>
    <definedName name="_xlnm.Print_Area" localSheetId="4">VKZ_Karta!$A$1:$AK$81</definedName>
    <definedName name="_xlnm.Print_Titles" localSheetId="0">KI!$2:$3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" l="1"/>
  <c r="E9" i="5"/>
  <c r="E9" i="2"/>
  <c r="U99" i="1" l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AK127" i="5" l="1"/>
  <c r="A44" i="5" l="1"/>
  <c r="A25" i="5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I84" i="5" l="1"/>
  <c r="AI83" i="5"/>
  <c r="AI82" i="5"/>
  <c r="AC82" i="5"/>
  <c r="S82" i="5"/>
  <c r="D84" i="5"/>
  <c r="D83" i="5"/>
  <c r="D82" i="5"/>
  <c r="A79" i="5"/>
  <c r="A128" i="5" l="1"/>
  <c r="E87" i="5"/>
  <c r="AK78" i="5"/>
  <c r="AK159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12" i="5"/>
  <c r="A11" i="5"/>
  <c r="S5" i="5"/>
  <c r="S83" i="5" s="1"/>
  <c r="AA79" i="3" l="1"/>
  <c r="AA72" i="3"/>
  <c r="AA73" i="3"/>
  <c r="AA74" i="3"/>
  <c r="AA75" i="3"/>
  <c r="AA76" i="3"/>
  <c r="AA77" i="3"/>
  <c r="AA78" i="3"/>
  <c r="AA71" i="3"/>
  <c r="AK81" i="3" l="1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S5" i="3"/>
  <c r="P52" i="1" l="1"/>
  <c r="AK81" i="2" l="1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2" i="2"/>
  <c r="A13" i="2" s="1"/>
  <c r="A11" i="2"/>
  <c r="S5" i="2"/>
  <c r="G49" i="1"/>
  <c r="V1" i="1"/>
  <c r="K49" i="1" l="1"/>
  <c r="B49" i="1"/>
  <c r="B98" i="1" s="1"/>
  <c r="G98" i="1"/>
  <c r="U2" i="1"/>
  <c r="R2" i="1" s="1"/>
  <c r="K98" i="1" l="1"/>
</calcChain>
</file>

<file path=xl/comments1.xml><?xml version="1.0" encoding="utf-8"?>
<comments xmlns="http://schemas.openxmlformats.org/spreadsheetml/2006/main">
  <authors>
    <author>Patera, Petr</author>
  </authors>
  <commentList>
    <comment ref="V1" authorId="0" shapeId="0">
      <text>
        <r>
          <rPr>
            <b/>
            <sz val="9"/>
            <color indexed="81"/>
            <rFont val="Tahoma"/>
            <family val="2"/>
            <charset val="238"/>
          </rPr>
          <t>Patera, Petr:</t>
        </r>
        <r>
          <rPr>
            <sz val="9"/>
            <color indexed="81"/>
            <rFont val="Tahoma"/>
            <family val="2"/>
            <charset val="238"/>
          </rPr>
          <t xml:space="preserve">
Toto číslo ukazuje, kolik má dokument bodů (nadpisů)</t>
        </r>
      </text>
    </comment>
  </commentList>
</comments>
</file>

<file path=xl/comments2.xml><?xml version="1.0" encoding="utf-8"?>
<comments xmlns="http://schemas.openxmlformats.org/spreadsheetml/2006/main">
  <authors>
    <author>Patera, Petr</author>
  </authors>
  <commentList>
    <comment ref="W6" authorId="0" shapeId="0">
      <text>
        <r>
          <rPr>
            <b/>
            <sz val="9"/>
            <color indexed="81"/>
            <rFont val="Tahoma"/>
            <family val="2"/>
            <charset val="238"/>
          </rPr>
          <t>Patera, Petr:</t>
        </r>
        <r>
          <rPr>
            <sz val="9"/>
            <color indexed="81"/>
            <rFont val="Tahoma"/>
            <family val="2"/>
            <charset val="238"/>
          </rPr>
          <t xml:space="preserve">
Zde všichni uvádějí, kdo SPC provádí, přejmenovat?</t>
        </r>
      </text>
    </comment>
  </commentList>
</comments>
</file>

<file path=xl/sharedStrings.xml><?xml version="1.0" encoding="utf-8"?>
<sst xmlns="http://schemas.openxmlformats.org/spreadsheetml/2006/main" count="320" uniqueCount="142">
  <si>
    <t>Jméno (name)</t>
  </si>
  <si>
    <t>Podpis (signature)</t>
  </si>
  <si>
    <t>Verze
(Index)</t>
  </si>
  <si>
    <t>Jméno
(Name)</t>
  </si>
  <si>
    <t>Popis
(Description)</t>
  </si>
  <si>
    <t>Datum
(Date)</t>
  </si>
  <si>
    <t>Legenda:</t>
  </si>
  <si>
    <t>Verze (index)</t>
  </si>
  <si>
    <t>Datum (date)</t>
  </si>
  <si>
    <t>Vyplnit tabulku (index - číslem; Jméno; Popis; Datum)</t>
  </si>
  <si>
    <t>Historie změn
(Document history)</t>
  </si>
  <si>
    <t>Název instrukce se automaticky aktualizuje s názvem souboru ve windows složce</t>
  </si>
  <si>
    <t>Pro vytvoření nového bodu kliknout do řádku a poté kliknout na tlačítko "Vložit nový nadpis"</t>
  </si>
  <si>
    <t>Pro vytvoření pole bodu vybrat obsah pole a poté kliknout na tlačítko "Vložit pole do výberu"</t>
  </si>
  <si>
    <t>Pro smazání nepotřebného obsahu vybrat vše co je třeba smazat (v rozsahu sloupce C -R) a kliknout na tlačítko "vymaž formátování výběru"</t>
  </si>
  <si>
    <t>Pro vložení další stránky klikni na tlačítko "Vložit novou stránku"</t>
  </si>
  <si>
    <t>Sloupec A slouží k přesunutí tabulky na střed dokumentu pro přehlednější upravování</t>
  </si>
  <si>
    <t>Vždy povol makra v sešitě!!!</t>
  </si>
  <si>
    <t>V případě D znaků dopsat číslo D znaku do sloupce R v úrovni nadpisu (SC-char.: /D - znak:) např.: D1/F1/S1/L1
Poté dojdojde k automatickému doplnění "D" do horní části dokumentu a popisu D znaku v nadpise</t>
  </si>
  <si>
    <t>Spodní část tabulky se aktualizuje automaticky z historie změn</t>
  </si>
  <si>
    <t>Regulační karta atributivní (Karta sběru vad)</t>
  </si>
  <si>
    <t>np</t>
  </si>
  <si>
    <t>c</t>
  </si>
  <si>
    <r>
      <t xml:space="preserve">Číslo Artiklu
</t>
    </r>
    <r>
      <rPr>
        <sz val="16"/>
        <color theme="1"/>
        <rFont val="Calibri"/>
        <family val="2"/>
        <charset val="238"/>
        <scheme val="minor"/>
      </rPr>
      <t>Artikel-Nr.:</t>
    </r>
  </si>
  <si>
    <r>
      <t xml:space="preserve">Vyhotovil:
</t>
    </r>
    <r>
      <rPr>
        <sz val="16"/>
        <color theme="1"/>
        <rFont val="Calibri"/>
        <family val="2"/>
        <charset val="238"/>
        <scheme val="minor"/>
      </rPr>
      <t>Erstellt:</t>
    </r>
  </si>
  <si>
    <r>
      <t xml:space="preserve">D - povinnost:
</t>
    </r>
    <r>
      <rPr>
        <sz val="16"/>
        <color theme="1"/>
        <rFont val="Calibri"/>
        <family val="2"/>
        <charset val="238"/>
        <scheme val="minor"/>
      </rPr>
      <t>D - Pflicht:</t>
    </r>
  </si>
  <si>
    <t>NE</t>
  </si>
  <si>
    <r>
      <t xml:space="preserve">Provoz
 </t>
    </r>
    <r>
      <rPr>
        <sz val="16"/>
        <color theme="1"/>
        <rFont val="Calibri"/>
        <family val="2"/>
        <charset val="238"/>
        <scheme val="minor"/>
      </rPr>
      <t>Werk:</t>
    </r>
  </si>
  <si>
    <t>ZDROJE</t>
  </si>
  <si>
    <r>
      <t xml:space="preserve">Název
</t>
    </r>
    <r>
      <rPr>
        <sz val="16"/>
        <color theme="1"/>
        <rFont val="Calibri"/>
        <family val="2"/>
        <charset val="238"/>
        <scheme val="minor"/>
      </rPr>
      <t>Benennung:</t>
    </r>
  </si>
  <si>
    <r>
      <t xml:space="preserve">Dne:
</t>
    </r>
    <r>
      <rPr>
        <sz val="16"/>
        <color theme="1"/>
        <rFont val="Calibri"/>
        <family val="2"/>
        <charset val="238"/>
        <scheme val="minor"/>
      </rPr>
      <t xml:space="preserve">Erstellt am: </t>
    </r>
  </si>
  <si>
    <r>
      <t xml:space="preserve">Oblast
</t>
    </r>
    <r>
      <rPr>
        <sz val="16"/>
        <color theme="1"/>
        <rFont val="Calibri"/>
        <family val="2"/>
        <charset val="238"/>
        <scheme val="minor"/>
      </rPr>
      <t>Bereich:</t>
    </r>
  </si>
  <si>
    <t>Žluté</t>
  </si>
  <si>
    <t>ANO</t>
  </si>
  <si>
    <r>
      <t xml:space="preserve">Četnost zkoušek
</t>
    </r>
    <r>
      <rPr>
        <sz val="16"/>
        <color theme="1"/>
        <rFont val="Calibri"/>
        <family val="2"/>
        <charset val="238"/>
        <scheme val="minor"/>
      </rPr>
      <t>Prüffrequenz</t>
    </r>
  </si>
  <si>
    <t xml:space="preserve">t=   </t>
  </si>
  <si>
    <t>1x za směnu</t>
  </si>
  <si>
    <r>
      <t xml:space="preserve">Rozsah výběru
</t>
    </r>
    <r>
      <rPr>
        <sz val="14"/>
        <color theme="1"/>
        <rFont val="Calibri"/>
        <family val="2"/>
        <charset val="238"/>
        <scheme val="minor"/>
      </rPr>
      <t>Stichprobenumfang</t>
    </r>
  </si>
  <si>
    <t>n =</t>
  </si>
  <si>
    <r>
      <t xml:space="preserve">Č. Operace:
</t>
    </r>
    <r>
      <rPr>
        <sz val="16"/>
        <color theme="1"/>
        <rFont val="Calibri"/>
        <family val="2"/>
        <charset val="238"/>
        <scheme val="minor"/>
      </rPr>
      <t>Vorgangsnummer:</t>
    </r>
  </si>
  <si>
    <t>FMEA:</t>
  </si>
  <si>
    <r>
      <t xml:space="preserve">Útvar
</t>
    </r>
    <r>
      <rPr>
        <sz val="16"/>
        <color theme="1"/>
        <rFont val="Calibri"/>
        <family val="2"/>
        <charset val="238"/>
        <scheme val="minor"/>
      </rPr>
      <t xml:space="preserve">Abteilung: </t>
    </r>
  </si>
  <si>
    <r>
      <t xml:space="preserve">Číslo:
</t>
    </r>
    <r>
      <rPr>
        <sz val="16"/>
        <color theme="1"/>
        <rFont val="Calibri"/>
        <family val="2"/>
        <charset val="238"/>
        <scheme val="minor"/>
      </rPr>
      <t>Nummer:</t>
    </r>
  </si>
  <si>
    <r>
      <t xml:space="preserve"> Kontrolovaný znak
</t>
    </r>
    <r>
      <rPr>
        <sz val="16"/>
        <color theme="1"/>
        <rFont val="Calibri"/>
        <family val="2"/>
        <charset val="238"/>
        <scheme val="minor"/>
      </rPr>
      <t>Prüfmerkmal :</t>
    </r>
  </si>
  <si>
    <r>
      <rPr>
        <b/>
        <sz val="16"/>
        <color theme="1"/>
        <rFont val="Calibri"/>
        <family val="2"/>
        <charset val="238"/>
        <scheme val="minor"/>
      </rPr>
      <t>Číslo stolu:</t>
    </r>
    <r>
      <rPr>
        <b/>
        <sz val="9"/>
        <color theme="1"/>
        <rFont val="Calibri"/>
        <family val="2"/>
        <charset val="238"/>
        <scheme val="minor"/>
      </rPr>
      <t xml:space="preserve">
</t>
    </r>
    <r>
      <rPr>
        <sz val="9"/>
        <color theme="1"/>
        <rFont val="Calibri"/>
        <family val="2"/>
        <charset val="238"/>
        <scheme val="minor"/>
      </rPr>
      <t>Arbeitsplatznummer:</t>
    </r>
  </si>
  <si>
    <r>
      <t xml:space="preserve">Četnost vad:
</t>
    </r>
    <r>
      <rPr>
        <sz val="16"/>
        <color theme="1"/>
        <rFont val="Calibri"/>
        <family val="2"/>
        <charset val="238"/>
        <scheme val="minor"/>
      </rPr>
      <t>Fehlerhäufigkeit:</t>
    </r>
  </si>
  <si>
    <r>
      <rPr>
        <b/>
        <sz val="12"/>
        <color theme="1"/>
        <rFont val="Symbol"/>
        <family val="1"/>
        <charset val="2"/>
      </rPr>
      <t xml:space="preserve"> S</t>
    </r>
    <r>
      <rPr>
        <b/>
        <sz val="12"/>
        <color theme="1"/>
        <rFont val="Calibri"/>
        <family val="2"/>
        <charset val="238"/>
        <scheme val="minor"/>
      </rPr>
      <t xml:space="preserve"> dle četn.vad
</t>
    </r>
    <r>
      <rPr>
        <sz val="12"/>
        <color theme="1"/>
        <rFont val="Symbol"/>
        <family val="1"/>
        <charset val="2"/>
      </rPr>
      <t xml:space="preserve">S </t>
    </r>
    <r>
      <rPr>
        <sz val="12"/>
        <color theme="1"/>
        <rFont val="Calibri"/>
        <family val="2"/>
        <charset val="238"/>
        <scheme val="minor"/>
      </rPr>
      <t>pro Fehlerhäufig.</t>
    </r>
  </si>
  <si>
    <r>
      <rPr>
        <b/>
        <sz val="12"/>
        <color theme="1"/>
        <rFont val="Calibri"/>
        <family val="2"/>
        <charset val="238"/>
        <scheme val="minor"/>
      </rPr>
      <t>Počet:</t>
    </r>
    <r>
      <rPr>
        <sz val="12"/>
        <color theme="1"/>
        <rFont val="Calibri"/>
        <family val="2"/>
        <charset val="238"/>
        <scheme val="minor"/>
      </rPr>
      <t xml:space="preserve">
Anzahl:</t>
    </r>
  </si>
  <si>
    <t>%</t>
  </si>
  <si>
    <t>Modré</t>
  </si>
  <si>
    <t>Zelené</t>
  </si>
  <si>
    <t>Šedé</t>
  </si>
  <si>
    <r>
      <rPr>
        <b/>
        <sz val="14"/>
        <color theme="1"/>
        <rFont val="Calibri"/>
        <family val="2"/>
        <charset val="238"/>
        <scheme val="minor"/>
      </rPr>
      <t>Počet vad (c-karta) :</t>
    </r>
    <r>
      <rPr>
        <sz val="14"/>
        <color theme="1"/>
        <rFont val="Calibri"/>
        <family val="2"/>
        <charset val="238"/>
        <scheme val="minor"/>
      </rPr>
      <t xml:space="preserve">
Anzahl der Fehler :</t>
    </r>
  </si>
  <si>
    <t>S</t>
  </si>
  <si>
    <r>
      <rPr>
        <b/>
        <sz val="14"/>
        <color theme="1"/>
        <rFont val="Calibri"/>
        <family val="2"/>
        <charset val="238"/>
        <scheme val="minor"/>
      </rPr>
      <t>Počet vadných jednotek (np-karta) :</t>
    </r>
    <r>
      <rPr>
        <sz val="14"/>
        <color theme="1"/>
        <rFont val="Calibri"/>
        <family val="2"/>
        <charset val="238"/>
        <scheme val="minor"/>
      </rPr>
      <t xml:space="preserve">
Anzahl der Fehlerhaft Einheiten:</t>
    </r>
  </si>
  <si>
    <r>
      <rPr>
        <b/>
        <sz val="14"/>
        <color theme="1"/>
        <rFont val="Calibri"/>
        <family val="2"/>
        <charset val="238"/>
        <scheme val="minor"/>
      </rPr>
      <t>Rozsah výběru vzorků (n):</t>
    </r>
    <r>
      <rPr>
        <sz val="14"/>
        <color theme="1"/>
        <rFont val="Calibri"/>
        <family val="2"/>
        <charset val="238"/>
        <scheme val="minor"/>
      </rPr>
      <t xml:space="preserve">
Stichprobenumfang:</t>
    </r>
  </si>
  <si>
    <r>
      <rPr>
        <b/>
        <sz val="12"/>
        <color theme="1"/>
        <rFont val="Calibri"/>
        <family val="2"/>
        <charset val="238"/>
        <scheme val="minor"/>
      </rPr>
      <t>Počet vad</t>
    </r>
    <r>
      <rPr>
        <sz val="12"/>
        <color theme="1"/>
        <rFont val="Calibri"/>
        <family val="2"/>
        <charset val="238"/>
        <scheme val="minor"/>
      </rPr>
      <t xml:space="preserve">
 Anzahl der Fehler     </t>
    </r>
  </si>
  <si>
    <r>
      <rPr>
        <b/>
        <sz val="12"/>
        <color theme="1"/>
        <rFont val="Calibri"/>
        <family val="2"/>
        <charset val="238"/>
        <scheme val="minor"/>
      </rPr>
      <t>Počet vadných jednotek</t>
    </r>
    <r>
      <rPr>
        <sz val="12"/>
        <color theme="1"/>
        <rFont val="Calibri"/>
        <family val="2"/>
        <charset val="238"/>
        <scheme val="minor"/>
      </rPr>
      <t xml:space="preserve">
Anzahl der fehlerhaften Einheiten</t>
    </r>
  </si>
  <si>
    <t>OEG:</t>
  </si>
  <si>
    <r>
      <rPr>
        <b/>
        <sz val="12"/>
        <color theme="1"/>
        <rFont val="Calibri"/>
        <family val="2"/>
        <charset val="238"/>
        <scheme val="minor"/>
      </rPr>
      <t>Vyhotoveno:</t>
    </r>
    <r>
      <rPr>
        <sz val="12"/>
        <color theme="1"/>
        <rFont val="Calibri"/>
        <family val="2"/>
        <charset val="238"/>
        <scheme val="minor"/>
      </rPr>
      <t xml:space="preserve">
Ausgewertet:</t>
    </r>
  </si>
  <si>
    <r>
      <rPr>
        <b/>
        <sz val="12"/>
        <color theme="1"/>
        <rFont val="Calibri"/>
        <family val="2"/>
        <charset val="238"/>
        <scheme val="minor"/>
      </rPr>
      <t>Střed:</t>
    </r>
    <r>
      <rPr>
        <sz val="12"/>
        <color theme="1"/>
        <rFont val="Calibri"/>
        <family val="2"/>
        <charset val="238"/>
        <scheme val="minor"/>
      </rPr>
      <t xml:space="preserve">
Mittell:</t>
    </r>
  </si>
  <si>
    <r>
      <rPr>
        <b/>
        <sz val="12"/>
        <color theme="1"/>
        <rFont val="Calibri"/>
        <family val="2"/>
        <charset val="238"/>
        <scheme val="minor"/>
      </rPr>
      <t>Přezkoumáno:</t>
    </r>
    <r>
      <rPr>
        <sz val="12"/>
        <color theme="1"/>
        <rFont val="Calibri"/>
        <family val="2"/>
        <charset val="238"/>
        <scheme val="minor"/>
      </rPr>
      <t xml:space="preserve">
Gesehen:</t>
    </r>
  </si>
  <si>
    <t>Datum:</t>
  </si>
  <si>
    <r>
      <t xml:space="preserve">Čas:
</t>
    </r>
    <r>
      <rPr>
        <sz val="16"/>
        <color theme="1"/>
        <rFont val="Calibri"/>
        <family val="2"/>
        <charset val="238"/>
        <scheme val="minor"/>
      </rPr>
      <t>Zeit:</t>
    </r>
  </si>
  <si>
    <r>
      <t>Podpis:</t>
    </r>
    <r>
      <rPr>
        <sz val="16"/>
        <color theme="1"/>
        <rFont val="Calibri"/>
        <family val="2"/>
        <charset val="238"/>
        <scheme val="minor"/>
      </rPr>
      <t xml:space="preserve"> 
Kurzzeichen:</t>
    </r>
    <r>
      <rPr>
        <b/>
        <sz val="16"/>
        <color theme="1"/>
        <rFont val="Calibri"/>
        <family val="2"/>
        <charset val="238"/>
        <scheme val="minor"/>
      </rPr>
      <t xml:space="preserve"> </t>
    </r>
  </si>
  <si>
    <t>Datum</t>
  </si>
  <si>
    <r>
      <rPr>
        <b/>
        <sz val="16"/>
        <color theme="1"/>
        <rFont val="Calibri"/>
        <family val="2"/>
        <charset val="238"/>
        <scheme val="minor"/>
      </rPr>
      <t>Hodina:</t>
    </r>
    <r>
      <rPr>
        <sz val="16"/>
        <color theme="1"/>
        <rFont val="Calibri"/>
        <family val="2"/>
        <charset val="238"/>
        <scheme val="minor"/>
      </rPr>
      <t xml:space="preserve">
Uhrzeit:</t>
    </r>
  </si>
  <si>
    <r>
      <rPr>
        <b/>
        <sz val="16"/>
        <color theme="1"/>
        <rFont val="Calibri"/>
        <family val="2"/>
        <charset val="238"/>
        <scheme val="minor"/>
      </rPr>
      <t>Index:</t>
    </r>
    <r>
      <rPr>
        <sz val="16"/>
        <color theme="1"/>
        <rFont val="Calibri"/>
        <family val="2"/>
        <charset val="238"/>
        <scheme val="minor"/>
      </rPr>
      <t xml:space="preserve">
Kennzahl:</t>
    </r>
  </si>
  <si>
    <r>
      <rPr>
        <b/>
        <sz val="16"/>
        <color theme="1"/>
        <rFont val="Calibri"/>
        <family val="2"/>
        <charset val="238"/>
        <scheme val="minor"/>
      </rPr>
      <t>Jméno:</t>
    </r>
    <r>
      <rPr>
        <sz val="16"/>
        <color theme="1"/>
        <rFont val="Calibri"/>
        <family val="2"/>
        <charset val="238"/>
        <scheme val="minor"/>
      </rPr>
      <t xml:space="preserve">
Name:</t>
    </r>
  </si>
  <si>
    <r>
      <rPr>
        <b/>
        <sz val="16"/>
        <color theme="1"/>
        <rFont val="Calibri"/>
        <family val="2"/>
        <charset val="238"/>
        <scheme val="minor"/>
      </rPr>
      <t>Nápravná opatření :</t>
    </r>
    <r>
      <rPr>
        <sz val="16"/>
        <color theme="1"/>
        <rFont val="Calibri"/>
        <family val="2"/>
        <charset val="238"/>
        <scheme val="minor"/>
      </rPr>
      <t xml:space="preserve">
Maßnahmen:</t>
    </r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</si>
  <si>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</si>
  <si>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</si>
  <si>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</si>
  <si>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</si>
  <si>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</si>
  <si>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</si>
  <si>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</si>
  <si>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</si>
  <si>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</si>
  <si>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</si>
  <si>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k)</t>
  </si>
  <si>
    <t>Automatické generování bodů do ATR karty</t>
  </si>
  <si>
    <r>
      <t xml:space="preserve">Dle kontrolní instrukce
</t>
    </r>
    <r>
      <rPr>
        <sz val="12"/>
        <color theme="1"/>
        <rFont val="Calibri"/>
        <family val="2"/>
        <charset val="238"/>
        <scheme val="minor"/>
      </rPr>
      <t>laut instruktion</t>
    </r>
  </si>
  <si>
    <t>Ne</t>
  </si>
  <si>
    <t>Spec.
Char
(D)</t>
  </si>
  <si>
    <t>Pokud je vytvořena separátní sběrná karta pro instrukci, zaklikněte a vložte název a linka na instrukci</t>
  </si>
  <si>
    <t>Dle RL_10-40-003_KOCR_Z</t>
  </si>
  <si>
    <t>Při požadavku AQM:</t>
  </si>
  <si>
    <t>Jednoduchá statistická přejímka pro zpřísněnou kontrolu</t>
  </si>
  <si>
    <t>Speciální kontrolní úroveň: S 3 (zpřísněná)</t>
  </si>
  <si>
    <t>Jednoduchá statistická přejímka pro normální kontrolu</t>
  </si>
  <si>
    <t>N</t>
  </si>
  <si>
    <t>-</t>
  </si>
  <si>
    <t xml:space="preserve">Jednoduchá statistická přejímka dle DIN ISO 2859 část 1                  </t>
  </si>
  <si>
    <t>C</t>
  </si>
  <si>
    <r>
      <t>Používáme</t>
    </r>
    <r>
      <rPr>
        <sz val="14"/>
        <color theme="1"/>
        <rFont val="Calibri"/>
        <family val="2"/>
        <charset val="238"/>
        <scheme val="minor"/>
      </rPr>
      <t>: Jednoduchou statistickou přejímku</t>
    </r>
  </si>
  <si>
    <t>8517-0000</t>
  </si>
  <si>
    <r>
      <t xml:space="preserve">Speciální kontrolní úroveň: S </t>
    </r>
    <r>
      <rPr>
        <b/>
        <i/>
        <sz val="16"/>
        <color theme="1"/>
        <rFont val="Calibri"/>
        <family val="2"/>
        <charset val="238"/>
        <scheme val="minor"/>
      </rPr>
      <t xml:space="preserve">2 </t>
    </r>
    <r>
      <rPr>
        <b/>
        <sz val="16"/>
        <color theme="1"/>
        <rFont val="Calibri"/>
        <family val="2"/>
        <charset val="238"/>
        <scheme val="minor"/>
      </rPr>
      <t>(normální)</t>
    </r>
  </si>
  <si>
    <r>
      <t xml:space="preserve">Číslo:
</t>
    </r>
    <r>
      <rPr>
        <sz val="14"/>
        <color theme="1"/>
        <rFont val="Calibri"/>
        <family val="2"/>
        <charset val="238"/>
        <scheme val="minor"/>
      </rPr>
      <t>Nummer:</t>
    </r>
  </si>
  <si>
    <t>První uvolnění (first release)</t>
  </si>
  <si>
    <t>Maximální počet nadpisů je 20 (dle kapacity karty)</t>
  </si>
  <si>
    <t>Dynamicky</t>
  </si>
  <si>
    <t>Verze</t>
  </si>
  <si>
    <t>Popis změny</t>
  </si>
  <si>
    <t>2.8.4</t>
  </si>
  <si>
    <t>Doplnění možnosti rozkopírovat čísla stolů na VKZ a ATR kartě</t>
  </si>
  <si>
    <t>2.8.5</t>
  </si>
  <si>
    <t>Doplněn link na VKZ kartu pro jednodušší dohledání původní instrukce (buňka AK49)</t>
  </si>
  <si>
    <t>Změna defaultního textu na kartě VKZ četnost zkoušek na "Dynamicky"</t>
  </si>
  <si>
    <t>Přidána funkce pro kontrolu indexů a historie při generování KI do PDF</t>
  </si>
  <si>
    <t>Optimalizace výkonu (vytváření nadpisu a mazání)</t>
  </si>
  <si>
    <t>2.8.6</t>
  </si>
  <si>
    <t>Omezen maximální počet nadpisů na 20 + varování při 15</t>
  </si>
  <si>
    <t>Optimalizace výkonu (vytváření nadpisu a mazání)_2.kolo</t>
  </si>
  <si>
    <t>Nepřejmenovávat jméno sešitu karet</t>
  </si>
  <si>
    <t>2.8.7</t>
  </si>
  <si>
    <t>Optimalizace výkonu (vytvoření nové stránky)</t>
  </si>
  <si>
    <r>
      <rPr>
        <b/>
        <sz val="16"/>
        <color theme="1"/>
        <rFont val="Calibri"/>
        <family val="2"/>
        <charset val="238"/>
        <scheme val="minor"/>
      </rPr>
      <t>Znak Klasifikace:</t>
    </r>
    <r>
      <rPr>
        <b/>
        <sz val="9"/>
        <color theme="1"/>
        <rFont val="Calibri"/>
        <family val="2"/>
        <charset val="238"/>
        <scheme val="minor"/>
      </rPr>
      <t xml:space="preserve">
</t>
    </r>
    <r>
      <rPr>
        <sz val="9"/>
        <color theme="1"/>
        <rFont val="Calibri"/>
        <family val="2"/>
        <charset val="238"/>
        <scheme val="minor"/>
      </rPr>
      <t>Formle-Q Einstufung:</t>
    </r>
  </si>
  <si>
    <t>KPS - Audit produktu</t>
  </si>
  <si>
    <t>Pořadové číslo záznamu</t>
  </si>
  <si>
    <r>
      <t xml:space="preserve">Týden </t>
    </r>
    <r>
      <rPr>
        <sz val="14"/>
        <color theme="1"/>
        <rFont val="Calibri"/>
        <family val="2"/>
        <charset val="238"/>
        <scheme val="minor"/>
      </rPr>
      <t>(číslo uvedené v termín plánu)</t>
    </r>
  </si>
  <si>
    <r>
      <t>SMĚNA</t>
    </r>
    <r>
      <rPr>
        <sz val="14"/>
        <color theme="1"/>
        <rFont val="Calibri"/>
        <family val="2"/>
        <charset val="238"/>
        <scheme val="minor"/>
      </rPr>
      <t xml:space="preserve"> číslo (např.1, směny nutno střídat)</t>
    </r>
  </si>
  <si>
    <r>
      <t>LINKA</t>
    </r>
    <r>
      <rPr>
        <sz val="14"/>
        <color theme="1"/>
        <rFont val="Calibri"/>
        <family val="2"/>
        <charset val="238"/>
        <scheme val="minor"/>
      </rPr>
      <t xml:space="preserve"> (např. L1, linky nutno střídat)</t>
    </r>
  </si>
  <si>
    <r>
      <t xml:space="preserve">Sériové číslo výrobku
</t>
    </r>
    <r>
      <rPr>
        <sz val="14"/>
        <color theme="1"/>
        <rFont val="Calibri"/>
        <family val="2"/>
        <charset val="238"/>
        <scheme val="minor"/>
      </rPr>
      <t>(pro všechny kroky 1,2,3,Z)</t>
    </r>
    <r>
      <rPr>
        <b/>
        <sz val="14"/>
        <color theme="1"/>
        <rFont val="Calibri"/>
        <family val="2"/>
        <charset val="238"/>
        <scheme val="minor"/>
      </rPr>
      <t xml:space="preserve">
</t>
    </r>
  </si>
  <si>
    <r>
      <t xml:space="preserve">Celé číslo výrobku
</t>
    </r>
    <r>
      <rPr>
        <sz val="14"/>
        <color theme="1"/>
        <rFont val="Calibri"/>
        <family val="2"/>
        <charset val="238"/>
        <scheme val="minor"/>
      </rPr>
      <t>(pro všechny kroky)</t>
    </r>
    <r>
      <rPr>
        <b/>
        <sz val="14"/>
        <color theme="1"/>
        <rFont val="Calibri"/>
        <family val="2"/>
        <charset val="238"/>
        <scheme val="minor"/>
      </rPr>
      <t xml:space="preserve">
</t>
    </r>
  </si>
  <si>
    <t>Z</t>
  </si>
  <si>
    <r>
      <rPr>
        <b/>
        <sz val="12"/>
        <color theme="1"/>
        <rFont val="Calibri"/>
        <family val="2"/>
        <charset val="238"/>
        <scheme val="minor"/>
      </rPr>
      <t>Opatření:</t>
    </r>
    <r>
      <rPr>
        <sz val="12"/>
        <color theme="1"/>
        <rFont val="Calibri"/>
        <family val="2"/>
        <charset val="238"/>
        <scheme val="minor"/>
      </rPr>
      <t xml:space="preserve">
Viz zadní strana</t>
    </r>
  </si>
  <si>
    <r>
      <rPr>
        <b/>
        <sz val="12"/>
        <color theme="1"/>
        <rFont val="Calibri"/>
        <family val="2"/>
        <charset val="238"/>
        <scheme val="minor"/>
      </rPr>
      <t xml:space="preserve">Krok:
</t>
    </r>
    <r>
      <rPr>
        <sz val="12"/>
        <color theme="1"/>
        <rFont val="Calibri"/>
        <family val="2"/>
        <charset val="238"/>
        <scheme val="minor"/>
      </rPr>
      <t>(píšu 1,2,3,Z)</t>
    </r>
  </si>
  <si>
    <t>2.8.8</t>
  </si>
  <si>
    <t>Doplněna možnost vytvoření karty pro Produkt audit</t>
  </si>
  <si>
    <t>l)</t>
  </si>
  <si>
    <t>m)</t>
  </si>
  <si>
    <t>n)</t>
  </si>
  <si>
    <t>2.8.9</t>
  </si>
  <si>
    <t>Změna textu maximální délky nadpisu + jeho identifikace</t>
  </si>
  <si>
    <t xml:space="preserve"> KPS - Výstupní kontrola zboží</t>
  </si>
  <si>
    <t>Tvorba VKZ karty + formulář, nadpis VKZ karty</t>
  </si>
  <si>
    <t>2.9</t>
  </si>
  <si>
    <t>Přepnutí podpory makra do verze 15 (konec otevírání a chybového hlášení VBA na jiných PC)</t>
  </si>
  <si>
    <t>2.9.1</t>
  </si>
  <si>
    <t>Fix v kartách (link na KI + vizuální úpravy)</t>
  </si>
  <si>
    <t>KI-xxx-xx-xx_x-Vzor_v2.9.1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</si>
</sst>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rgb="FF0000FF"/>
      <name val="Calibri"/>
      <family val="2"/>
      <charset val="238"/>
      <scheme val="minor"/>
    </font>
    <font>
      <b/>
      <sz val="16"/>
      <color rgb="FF0000FF"/>
      <name val="Calibri"/>
      <family val="2"/>
      <charset val="238"/>
      <scheme val="minor"/>
    </font>
    <font>
      <u/>
      <sz val="18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2"/>
      <color theme="1"/>
      <name val="Symbol"/>
      <family val="1"/>
      <charset val="2"/>
    </font>
    <font>
      <sz val="12"/>
      <color theme="1"/>
      <name val="Symbol"/>
      <family val="1"/>
      <charset val="2"/>
    </font>
    <font>
      <b/>
      <sz val="14"/>
      <color theme="1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4"/>
      <color theme="1"/>
      <name val="Symbol"/>
      <family val="1"/>
      <charset val="2"/>
    </font>
    <font>
      <sz val="10"/>
      <color theme="1"/>
      <name val="Calibri"/>
      <family val="2"/>
      <charset val="238"/>
      <scheme val="minor"/>
    </font>
    <font>
      <sz val="5"/>
      <color theme="1"/>
      <name val="Arial"/>
      <family val="2"/>
      <charset val="238"/>
    </font>
    <font>
      <sz val="13"/>
      <color theme="1"/>
      <name val="Calibri"/>
      <family val="2"/>
      <charset val="238"/>
      <scheme val="minor"/>
    </font>
    <font>
      <b/>
      <sz val="10"/>
      <color theme="1"/>
      <name val="Bookman Old Style"/>
      <family val="1"/>
      <charset val="238"/>
    </font>
    <font>
      <u/>
      <sz val="14"/>
      <color theme="1"/>
      <name val="Calibri"/>
      <family val="2"/>
      <charset val="238"/>
      <scheme val="minor"/>
    </font>
    <font>
      <sz val="17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lightGray">
        <fgColor rgb="FF000000"/>
        <bgColor rgb="FFCCCCCC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42" fillId="0" borderId="0" applyNumberFormat="0" applyFill="0" applyBorder="0" applyAlignment="0" applyProtection="0"/>
  </cellStyleXfs>
  <cellXfs count="584">
    <xf numFmtId="0" fontId="0" fillId="0" borderId="0" xfId="0"/>
    <xf numFmtId="0" fontId="0" fillId="0" borderId="0" xfId="0" applyBorder="1"/>
    <xf numFmtId="0" fontId="0" fillId="0" borderId="5" xfId="0" applyBorder="1"/>
    <xf numFmtId="0" fontId="0" fillId="3" borderId="0" xfId="0" applyFill="1" applyBorder="1"/>
    <xf numFmtId="0" fontId="0" fillId="0" borderId="0" xfId="0" applyFill="1" applyBorder="1"/>
    <xf numFmtId="0" fontId="7" fillId="0" borderId="4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/>
    <xf numFmtId="0" fontId="12" fillId="0" borderId="4" xfId="0" applyFont="1" applyBorder="1" applyAlignment="1">
      <alignment vertical="center"/>
    </xf>
    <xf numFmtId="0" fontId="11" fillId="0" borderId="4" xfId="0" applyFont="1" applyBorder="1"/>
    <xf numFmtId="0" fontId="11" fillId="0" borderId="18" xfId="0" applyFont="1" applyFill="1" applyBorder="1" applyAlignment="1" applyProtection="1"/>
    <xf numFmtId="0" fontId="0" fillId="0" borderId="0" xfId="0" applyBorder="1" applyAlignment="1">
      <alignment vertical="center" wrapText="1"/>
    </xf>
    <xf numFmtId="0" fontId="11" fillId="0" borderId="4" xfId="0" applyFont="1" applyBorder="1" applyAlignment="1"/>
    <xf numFmtId="0" fontId="14" fillId="0" borderId="4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 applyProtection="1">
      <protection locked="0"/>
    </xf>
    <xf numFmtId="0" fontId="0" fillId="0" borderId="5" xfId="0" applyBorder="1" applyAlignment="1" applyProtection="1"/>
    <xf numFmtId="0" fontId="0" fillId="0" borderId="5" xfId="0" applyBorder="1" applyProtection="1"/>
    <xf numFmtId="0" fontId="7" fillId="0" borderId="5" xfId="0" applyFon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7" fillId="0" borderId="4" xfId="0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0" xfId="0" applyBorder="1" applyAlignment="1">
      <alignment horizontal="left" vertical="center"/>
    </xf>
    <xf numFmtId="0" fontId="18" fillId="5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25" fillId="0" borderId="0" xfId="1" applyFont="1"/>
    <xf numFmtId="0" fontId="23" fillId="0" borderId="0" xfId="1" applyFont="1"/>
    <xf numFmtId="0" fontId="21" fillId="0" borderId="14" xfId="1" applyFont="1" applyBorder="1" applyAlignment="1">
      <alignment horizontal="right" vertical="center"/>
    </xf>
    <xf numFmtId="0" fontId="26" fillId="0" borderId="14" xfId="1" applyFont="1" applyBorder="1" applyAlignment="1">
      <alignment horizontal="center" vertical="center" wrapText="1"/>
    </xf>
    <xf numFmtId="0" fontId="19" fillId="0" borderId="0" xfId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 wrapText="1"/>
    </xf>
    <xf numFmtId="0" fontId="19" fillId="0" borderId="0" xfId="1" applyFont="1" applyFill="1" applyBorder="1" applyAlignment="1">
      <alignment horizontal="right" vertical="center" wrapText="1"/>
    </xf>
    <xf numFmtId="0" fontId="19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vertical="center" wrapText="1"/>
    </xf>
    <xf numFmtId="0" fontId="4" fillId="0" borderId="0" xfId="1" applyFont="1" applyFill="1"/>
    <xf numFmtId="0" fontId="4" fillId="0" borderId="0" xfId="1" applyFont="1"/>
    <xf numFmtId="0" fontId="25" fillId="0" borderId="52" xfId="1" applyFont="1" applyBorder="1" applyAlignment="1">
      <alignment horizontal="center" vertical="center" wrapText="1"/>
    </xf>
    <xf numFmtId="0" fontId="31" fillId="0" borderId="6" xfId="1" applyFont="1" applyBorder="1" applyAlignment="1">
      <alignment horizontal="center" vertical="center" wrapText="1"/>
    </xf>
    <xf numFmtId="0" fontId="32" fillId="0" borderId="11" xfId="1" applyFont="1" applyBorder="1" applyAlignment="1">
      <alignment horizontal="center" vertical="center" wrapText="1"/>
    </xf>
    <xf numFmtId="0" fontId="32" fillId="0" borderId="7" xfId="1" applyFont="1" applyBorder="1" applyAlignment="1">
      <alignment horizontal="center" vertical="center" wrapText="1"/>
    </xf>
    <xf numFmtId="0" fontId="32" fillId="6" borderId="7" xfId="1" applyFont="1" applyFill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26" fillId="0" borderId="8" xfId="1" applyFont="1" applyBorder="1" applyAlignment="1" applyProtection="1">
      <alignment horizontal="center" vertical="center" wrapText="1"/>
    </xf>
    <xf numFmtId="0" fontId="31" fillId="0" borderId="42" xfId="1" applyFont="1" applyBorder="1" applyAlignment="1">
      <alignment horizontal="center" vertical="center" wrapText="1"/>
    </xf>
    <xf numFmtId="0" fontId="32" fillId="0" borderId="29" xfId="1" applyFont="1" applyBorder="1" applyAlignment="1">
      <alignment horizontal="center" vertical="center" wrapText="1"/>
    </xf>
    <xf numFmtId="0" fontId="32" fillId="0" borderId="43" xfId="1" applyFont="1" applyBorder="1" applyAlignment="1">
      <alignment horizontal="center" vertical="center" wrapText="1"/>
    </xf>
    <xf numFmtId="0" fontId="32" fillId="6" borderId="43" xfId="1" applyFont="1" applyFill="1" applyBorder="1" applyAlignment="1">
      <alignment horizontal="center" vertical="center" wrapText="1"/>
    </xf>
    <xf numFmtId="0" fontId="32" fillId="0" borderId="47" xfId="1" applyFont="1" applyBorder="1" applyAlignment="1">
      <alignment horizontal="center" vertical="center" wrapText="1"/>
    </xf>
    <xf numFmtId="0" fontId="26" fillId="0" borderId="47" xfId="1" applyFont="1" applyBorder="1" applyAlignment="1" applyProtection="1">
      <alignment horizontal="center" vertical="center" wrapText="1"/>
    </xf>
    <xf numFmtId="0" fontId="31" fillId="0" borderId="48" xfId="1" applyFont="1" applyBorder="1" applyAlignment="1">
      <alignment horizontal="center" vertical="center" wrapText="1"/>
    </xf>
    <xf numFmtId="0" fontId="32" fillId="0" borderId="14" xfId="1" applyFont="1" applyBorder="1" applyAlignment="1">
      <alignment horizontal="center" vertical="center" wrapText="1"/>
    </xf>
    <xf numFmtId="0" fontId="32" fillId="0" borderId="49" xfId="1" applyFont="1" applyBorder="1" applyAlignment="1">
      <alignment horizontal="center" vertical="center" wrapText="1"/>
    </xf>
    <xf numFmtId="0" fontId="32" fillId="6" borderId="49" xfId="1" applyFont="1" applyFill="1" applyBorder="1" applyAlignment="1">
      <alignment horizontal="center" vertical="center" wrapText="1"/>
    </xf>
    <xf numFmtId="0" fontId="32" fillId="0" borderId="50" xfId="1" applyFont="1" applyBorder="1" applyAlignment="1">
      <alignment horizontal="center" vertical="center" wrapText="1"/>
    </xf>
    <xf numFmtId="0" fontId="26" fillId="0" borderId="50" xfId="1" applyFont="1" applyBorder="1" applyAlignment="1" applyProtection="1">
      <alignment horizontal="center" vertical="center" wrapText="1"/>
    </xf>
    <xf numFmtId="0" fontId="26" fillId="0" borderId="46" xfId="1" applyFont="1" applyBorder="1" applyAlignment="1">
      <alignment horizontal="center" vertical="center" wrapText="1"/>
    </xf>
    <xf numFmtId="0" fontId="26" fillId="0" borderId="54" xfId="1" applyFont="1" applyBorder="1" applyAlignment="1">
      <alignment horizontal="center" vertical="center" wrapText="1"/>
    </xf>
    <xf numFmtId="0" fontId="26" fillId="6" borderId="54" xfId="1" applyFont="1" applyFill="1" applyBorder="1" applyAlignment="1">
      <alignment horizontal="center" vertical="center" wrapText="1"/>
    </xf>
    <xf numFmtId="0" fontId="26" fillId="0" borderId="55" xfId="1" applyFont="1" applyBorder="1" applyAlignment="1">
      <alignment horizontal="center" vertical="center" wrapText="1"/>
    </xf>
    <xf numFmtId="0" fontId="33" fillId="0" borderId="45" xfId="1" applyFont="1" applyBorder="1" applyAlignment="1">
      <alignment vertical="center" wrapText="1"/>
    </xf>
    <xf numFmtId="0" fontId="26" fillId="0" borderId="46" xfId="1" applyFont="1" applyBorder="1" applyProtection="1">
      <protection locked="0"/>
    </xf>
    <xf numFmtId="0" fontId="26" fillId="0" borderId="55" xfId="1" applyFont="1" applyBorder="1" applyAlignment="1" applyProtection="1">
      <alignment horizontal="center" vertical="center" wrapText="1"/>
    </xf>
    <xf numFmtId="0" fontId="26" fillId="0" borderId="0" xfId="1" applyFont="1"/>
    <xf numFmtId="0" fontId="26" fillId="0" borderId="29" xfId="1" applyFont="1" applyBorder="1" applyAlignment="1">
      <alignment horizontal="center" vertical="center" wrapText="1"/>
    </xf>
    <xf numFmtId="0" fontId="26" fillId="0" borderId="43" xfId="1" applyFont="1" applyBorder="1" applyAlignment="1">
      <alignment horizontal="center" vertical="center" wrapText="1"/>
    </xf>
    <xf numFmtId="0" fontId="26" fillId="6" borderId="43" xfId="1" applyFont="1" applyFill="1" applyBorder="1" applyAlignment="1">
      <alignment horizontal="center" vertical="center" wrapText="1"/>
    </xf>
    <xf numFmtId="0" fontId="26" fillId="0" borderId="47" xfId="1" applyFont="1" applyBorder="1" applyAlignment="1">
      <alignment horizontal="center" vertical="center" wrapText="1"/>
    </xf>
    <xf numFmtId="0" fontId="33" fillId="0" borderId="28" xfId="1" applyFont="1" applyBorder="1" applyAlignment="1">
      <alignment vertical="center" wrapText="1"/>
    </xf>
    <xf numFmtId="0" fontId="26" fillId="0" borderId="29" xfId="1" applyFont="1" applyBorder="1" applyProtection="1">
      <protection locked="0"/>
    </xf>
    <xf numFmtId="0" fontId="26" fillId="0" borderId="35" xfId="1" applyFont="1" applyBorder="1" applyAlignment="1">
      <alignment horizontal="center" vertical="center" wrapText="1"/>
    </xf>
    <xf numFmtId="0" fontId="26" fillId="0" borderId="56" xfId="1" applyFont="1" applyBorder="1" applyAlignment="1">
      <alignment horizontal="center" vertical="center" wrapText="1"/>
    </xf>
    <xf numFmtId="0" fontId="26" fillId="6" borderId="56" xfId="1" applyFont="1" applyFill="1" applyBorder="1" applyAlignment="1">
      <alignment horizontal="center" vertical="center" wrapText="1"/>
    </xf>
    <xf numFmtId="0" fontId="26" fillId="0" borderId="52" xfId="1" applyFont="1" applyBorder="1" applyAlignment="1">
      <alignment horizontal="center" vertical="center" wrapText="1"/>
    </xf>
    <xf numFmtId="0" fontId="26" fillId="0" borderId="52" xfId="1" applyFont="1" applyBorder="1" applyAlignment="1" applyProtection="1">
      <alignment horizontal="center" vertical="center" wrapText="1"/>
    </xf>
    <xf numFmtId="0" fontId="28" fillId="0" borderId="45" xfId="1" applyFont="1" applyFill="1" applyBorder="1" applyAlignment="1">
      <alignment vertical="center" wrapText="1"/>
    </xf>
    <xf numFmtId="0" fontId="28" fillId="0" borderId="6" xfId="1" applyFont="1" applyBorder="1" applyAlignment="1">
      <alignment horizontal="center" vertical="center" wrapText="1"/>
    </xf>
    <xf numFmtId="0" fontId="28" fillId="0" borderId="7" xfId="1" applyFont="1" applyBorder="1" applyAlignment="1">
      <alignment horizontal="center" vertical="center" wrapText="1"/>
    </xf>
    <xf numFmtId="0" fontId="28" fillId="0" borderId="0" xfId="1" applyFont="1" applyFill="1" applyBorder="1" applyAlignment="1">
      <alignment horizontal="center" vertical="center" wrapText="1"/>
    </xf>
    <xf numFmtId="0" fontId="28" fillId="0" borderId="42" xfId="1" applyFont="1" applyBorder="1" applyAlignment="1">
      <alignment horizontal="center" vertical="center" wrapText="1"/>
    </xf>
    <xf numFmtId="0" fontId="28" fillId="0" borderId="43" xfId="1" applyFont="1" applyBorder="1" applyAlignment="1">
      <alignment horizontal="center" vertical="center" wrapText="1"/>
    </xf>
    <xf numFmtId="0" fontId="28" fillId="0" borderId="45" xfId="1" applyFont="1" applyFill="1" applyBorder="1" applyAlignment="1">
      <alignment horizontal="center" vertical="center" wrapText="1"/>
    </xf>
    <xf numFmtId="0" fontId="31" fillId="0" borderId="0" xfId="1" applyFont="1" applyFill="1" applyBorder="1" applyAlignment="1">
      <alignment horizontal="center" vertical="center" wrapText="1"/>
    </xf>
    <xf numFmtId="0" fontId="28" fillId="0" borderId="51" xfId="1" applyFont="1" applyBorder="1" applyAlignment="1">
      <alignment horizontal="center" vertical="center" wrapText="1"/>
    </xf>
    <xf numFmtId="0" fontId="28" fillId="0" borderId="56" xfId="1" applyFont="1" applyBorder="1" applyAlignment="1">
      <alignment horizontal="center" vertical="center" wrapText="1"/>
    </xf>
    <xf numFmtId="0" fontId="32" fillId="0" borderId="56" xfId="1" applyFont="1" applyBorder="1" applyAlignment="1">
      <alignment horizontal="center" vertical="center" wrapText="1"/>
    </xf>
    <xf numFmtId="0" fontId="32" fillId="6" borderId="56" xfId="1" applyFont="1" applyFill="1" applyBorder="1" applyAlignment="1">
      <alignment horizontal="center" vertical="center" wrapText="1"/>
    </xf>
    <xf numFmtId="0" fontId="32" fillId="0" borderId="52" xfId="1" applyFont="1" applyBorder="1" applyAlignment="1">
      <alignment horizontal="center" vertical="center" wrapText="1"/>
    </xf>
    <xf numFmtId="0" fontId="25" fillId="0" borderId="6" xfId="1" applyFont="1" applyBorder="1" applyAlignment="1" applyProtection="1">
      <alignment horizontal="center" vertical="center" wrapText="1"/>
      <protection locked="0"/>
    </xf>
    <xf numFmtId="0" fontId="25" fillId="0" borderId="7" xfId="1" applyFont="1" applyBorder="1" applyAlignment="1" applyProtection="1">
      <alignment horizontal="center" vertical="center" wrapText="1"/>
      <protection locked="0"/>
    </xf>
    <xf numFmtId="0" fontId="25" fillId="6" borderId="7" xfId="1" applyFont="1" applyFill="1" applyBorder="1" applyAlignment="1" applyProtection="1">
      <alignment horizontal="center" vertical="center" wrapText="1"/>
      <protection locked="0"/>
    </xf>
    <xf numFmtId="0" fontId="25" fillId="0" borderId="8" xfId="1" applyFont="1" applyBorder="1" applyAlignment="1" applyProtection="1">
      <alignment horizontal="center" vertical="center" wrapText="1"/>
      <protection locked="0"/>
    </xf>
    <xf numFmtId="0" fontId="25" fillId="0" borderId="42" xfId="1" applyFont="1" applyBorder="1" applyAlignment="1" applyProtection="1">
      <alignment horizontal="center" vertical="center" wrapText="1"/>
      <protection locked="0"/>
    </xf>
    <xf numFmtId="0" fontId="25" fillId="0" borderId="43" xfId="1" applyFont="1" applyBorder="1" applyAlignment="1" applyProtection="1">
      <alignment horizontal="center" vertical="center" wrapText="1"/>
      <protection locked="0"/>
    </xf>
    <xf numFmtId="0" fontId="25" fillId="6" borderId="43" xfId="1" applyFont="1" applyFill="1" applyBorder="1" applyAlignment="1" applyProtection="1">
      <alignment horizontal="center" vertical="center" wrapText="1"/>
      <protection locked="0"/>
    </xf>
    <xf numFmtId="0" fontId="25" fillId="0" borderId="47" xfId="1" applyFont="1" applyBorder="1" applyAlignment="1" applyProtection="1">
      <alignment horizontal="center" vertical="center" wrapText="1"/>
      <protection locked="0"/>
    </xf>
    <xf numFmtId="0" fontId="25" fillId="0" borderId="48" xfId="1" applyFont="1" applyBorder="1" applyAlignment="1" applyProtection="1">
      <alignment horizontal="center" vertical="center" wrapText="1"/>
      <protection locked="0"/>
    </xf>
    <xf numFmtId="0" fontId="25" fillId="0" borderId="49" xfId="1" applyFont="1" applyBorder="1" applyAlignment="1" applyProtection="1">
      <alignment horizontal="center" vertical="center" wrapText="1"/>
      <protection locked="0"/>
    </xf>
    <xf numFmtId="0" fontId="25" fillId="6" borderId="49" xfId="1" applyFont="1" applyFill="1" applyBorder="1" applyAlignment="1" applyProtection="1">
      <alignment horizontal="center" vertical="center" wrapText="1"/>
      <protection locked="0"/>
    </xf>
    <xf numFmtId="0" fontId="25" fillId="0" borderId="50" xfId="1" applyFont="1" applyBorder="1" applyAlignment="1" applyProtection="1">
      <alignment horizontal="center" vertical="center" wrapText="1"/>
      <protection locked="0"/>
    </xf>
    <xf numFmtId="0" fontId="35" fillId="0" borderId="0" xfId="1" applyFont="1" applyAlignment="1">
      <alignment vertical="center"/>
    </xf>
    <xf numFmtId="0" fontId="4" fillId="0" borderId="0" xfId="1" applyBorder="1" applyAlignment="1">
      <alignment horizontal="center"/>
    </xf>
    <xf numFmtId="0" fontId="21" fillId="0" borderId="7" xfId="1" applyFont="1" applyBorder="1" applyAlignment="1">
      <alignment horizontal="center" vertical="center" wrapText="1"/>
    </xf>
    <xf numFmtId="0" fontId="21" fillId="0" borderId="7" xfId="1" applyFont="1" applyFill="1" applyBorder="1" applyAlignment="1">
      <alignment horizontal="center" vertical="center" wrapText="1"/>
    </xf>
    <xf numFmtId="0" fontId="21" fillId="0" borderId="0" xfId="1" applyFont="1"/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6" fillId="0" borderId="49" xfId="1" applyFont="1" applyBorder="1" applyAlignment="1" applyProtection="1">
      <alignment horizontal="center" vertical="center" wrapText="1"/>
      <protection locked="0"/>
    </xf>
    <xf numFmtId="49" fontId="4" fillId="0" borderId="0" xfId="1" applyNumberFormat="1" applyProtection="1"/>
    <xf numFmtId="0" fontId="9" fillId="0" borderId="40" xfId="1" applyFont="1" applyBorder="1" applyAlignment="1">
      <alignment horizontal="center" vertical="center" wrapText="1"/>
    </xf>
    <xf numFmtId="0" fontId="22" fillId="0" borderId="59" xfId="1" applyFont="1" applyBorder="1" applyAlignment="1">
      <alignment horizontal="center" vertical="center" wrapText="1"/>
    </xf>
    <xf numFmtId="0" fontId="26" fillId="0" borderId="7" xfId="1" applyFont="1" applyFill="1" applyBorder="1" applyAlignment="1" applyProtection="1">
      <alignment horizontal="center" vertical="center" wrapText="1"/>
      <protection locked="0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6" fillId="0" borderId="49" xfId="1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/>
    <xf numFmtId="0" fontId="0" fillId="0" borderId="2" xfId="0" applyBorder="1" applyAlignment="1" applyProtection="1"/>
    <xf numFmtId="0" fontId="26" fillId="0" borderId="43" xfId="1" applyFont="1" applyFill="1" applyBorder="1" applyAlignment="1" applyProtection="1">
      <alignment horizontal="right" vertical="center" wrapText="1"/>
    </xf>
    <xf numFmtId="0" fontId="26" fillId="0" borderId="7" xfId="1" applyFont="1" applyFill="1" applyBorder="1" applyAlignment="1" applyProtection="1">
      <alignment horizontal="right" vertical="center" wrapText="1"/>
    </xf>
    <xf numFmtId="1" fontId="26" fillId="0" borderId="8" xfId="1" applyNumberFormat="1" applyFont="1" applyFill="1" applyBorder="1" applyAlignment="1" applyProtection="1">
      <alignment horizontal="center" vertical="center" wrapText="1"/>
      <protection locked="0"/>
    </xf>
    <xf numFmtId="1" fontId="26" fillId="0" borderId="47" xfId="1" applyNumberFormat="1" applyFont="1" applyFill="1" applyBorder="1" applyAlignment="1" applyProtection="1">
      <alignment horizontal="center" vertical="center" wrapText="1"/>
      <protection locked="0"/>
    </xf>
    <xf numFmtId="0" fontId="26" fillId="0" borderId="49" xfId="1" applyFont="1" applyFill="1" applyBorder="1" applyAlignment="1" applyProtection="1">
      <alignment horizontal="right" vertical="center" wrapText="1"/>
    </xf>
    <xf numFmtId="1" fontId="26" fillId="0" borderId="50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>
      <alignment horizontal="center" vertical="center" wrapText="1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6" fillId="0" borderId="49" xfId="1" applyFont="1" applyBorder="1" applyAlignment="1" applyProtection="1">
      <alignment horizontal="center" vertical="center" wrapText="1"/>
      <protection locked="0"/>
    </xf>
    <xf numFmtId="0" fontId="28" fillId="0" borderId="0" xfId="1" applyFont="1" applyFill="1" applyBorder="1" applyAlignment="1">
      <alignment horizontal="center" vertical="center" wrapText="1"/>
    </xf>
    <xf numFmtId="0" fontId="4" fillId="0" borderId="0" xfId="1" applyBorder="1" applyAlignment="1">
      <alignment horizontal="center"/>
    </xf>
    <xf numFmtId="0" fontId="3" fillId="0" borderId="0" xfId="1" applyFont="1" applyAlignment="1">
      <alignment horizontal="right"/>
    </xf>
    <xf numFmtId="0" fontId="4" fillId="0" borderId="0" xfId="1" applyAlignment="1">
      <alignment horizontal="right"/>
    </xf>
    <xf numFmtId="0" fontId="26" fillId="0" borderId="49" xfId="1" applyFont="1" applyBorder="1" applyAlignment="1" applyProtection="1">
      <alignment horizontal="center" vertical="center" wrapText="1"/>
      <protection locked="0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6" fillId="0" borderId="7" xfId="1" applyFont="1" applyBorder="1" applyAlignment="1" applyProtection="1">
      <alignment horizontal="center" vertical="center" wrapText="1"/>
      <protection locked="0"/>
    </xf>
    <xf numFmtId="0" fontId="21" fillId="0" borderId="22" xfId="1" applyFont="1" applyBorder="1" applyAlignment="1">
      <alignment horizontal="center" vertical="center" wrapText="1"/>
    </xf>
    <xf numFmtId="0" fontId="21" fillId="0" borderId="22" xfId="1" applyFont="1" applyFill="1" applyBorder="1" applyAlignment="1">
      <alignment horizontal="center" vertical="center" wrapText="1"/>
    </xf>
    <xf numFmtId="0" fontId="26" fillId="0" borderId="0" xfId="1" applyFont="1" applyBorder="1" applyAlignment="1" applyProtection="1">
      <alignment vertical="center" wrapText="1"/>
      <protection locked="0"/>
    </xf>
    <xf numFmtId="0" fontId="26" fillId="0" borderId="2" xfId="1" applyFont="1" applyBorder="1" applyAlignment="1" applyProtection="1">
      <alignment vertical="center" wrapText="1"/>
      <protection locked="0"/>
    </xf>
    <xf numFmtId="0" fontId="37" fillId="0" borderId="0" xfId="0" applyFont="1" applyAlignment="1">
      <alignment horizontal="left" vertical="center" indent="5"/>
    </xf>
    <xf numFmtId="0" fontId="2" fillId="0" borderId="2" xfId="1" applyFont="1" applyBorder="1" applyAlignment="1" applyProtection="1">
      <alignment vertical="center" wrapText="1"/>
      <protection locked="0"/>
    </xf>
    <xf numFmtId="0" fontId="2" fillId="0" borderId="0" xfId="1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31" fillId="0" borderId="0" xfId="0" applyFont="1" applyAlignment="1">
      <alignment horizontal="right" vertical="center"/>
    </xf>
    <xf numFmtId="0" fontId="31" fillId="0" borderId="0" xfId="1" applyFont="1" applyBorder="1" applyAlignment="1" applyProtection="1">
      <alignment horizontal="left" vertical="center" wrapText="1"/>
      <protection locked="0"/>
    </xf>
    <xf numFmtId="0" fontId="26" fillId="0" borderId="0" xfId="0" applyFont="1"/>
    <xf numFmtId="49" fontId="2" fillId="0" borderId="0" xfId="1" applyNumberFormat="1" applyFont="1" applyProtection="1">
      <protection locked="0"/>
    </xf>
    <xf numFmtId="0" fontId="39" fillId="0" borderId="0" xfId="1" applyFont="1" applyBorder="1" applyAlignment="1" applyProtection="1">
      <alignment vertical="center" wrapText="1"/>
      <protection locked="0"/>
    </xf>
    <xf numFmtId="0" fontId="39" fillId="0" borderId="0" xfId="1" applyFont="1" applyBorder="1" applyAlignment="1" applyProtection="1">
      <alignment horizontal="center" vertical="center" wrapText="1"/>
      <protection locked="0"/>
    </xf>
    <xf numFmtId="0" fontId="39" fillId="0" borderId="0" xfId="1" applyFont="1"/>
    <xf numFmtId="0" fontId="39" fillId="0" borderId="0" xfId="0" applyFont="1" applyAlignment="1">
      <alignment vertical="center"/>
    </xf>
    <xf numFmtId="0" fontId="39" fillId="0" borderId="0" xfId="1" applyFont="1" applyBorder="1" applyAlignment="1" applyProtection="1">
      <alignment horizontal="left" vertical="center" wrapText="1"/>
      <protection locked="0"/>
    </xf>
    <xf numFmtId="0" fontId="42" fillId="0" borderId="0" xfId="2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Border="1" applyAlignment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0" fillId="0" borderId="4" xfId="0" applyBorder="1"/>
    <xf numFmtId="0" fontId="0" fillId="0" borderId="0" xfId="0" applyBorder="1"/>
    <xf numFmtId="0" fontId="26" fillId="0" borderId="49" xfId="1" applyFont="1" applyBorder="1" applyAlignment="1" applyProtection="1">
      <alignment horizontal="center" vertical="center" wrapText="1"/>
      <protection locked="0"/>
    </xf>
    <xf numFmtId="0" fontId="4" fillId="0" borderId="0" xfId="1" applyBorder="1" applyAlignment="1">
      <alignment horizontal="center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1" fillId="0" borderId="7" xfId="1" applyFont="1" applyBorder="1" applyAlignment="1">
      <alignment horizontal="center" vertical="center" wrapText="1"/>
    </xf>
    <xf numFmtId="0" fontId="22" fillId="0" borderId="59" xfId="1" applyFont="1" applyBorder="1" applyAlignment="1">
      <alignment horizontal="center" vertical="center" wrapText="1"/>
    </xf>
    <xf numFmtId="49" fontId="1" fillId="0" borderId="0" xfId="1" applyNumberFormat="1" applyFont="1" applyProtection="1"/>
    <xf numFmtId="49" fontId="1" fillId="0" borderId="0" xfId="1" applyNumberFormat="1" applyFont="1" applyProtection="1">
      <protection locked="0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5" fillId="0" borderId="49" xfId="1" applyFont="1" applyBorder="1" applyAlignment="1">
      <alignment horizontal="center" vertical="center" wrapText="1"/>
    </xf>
    <xf numFmtId="0" fontId="4" fillId="0" borderId="0" xfId="1" applyBorder="1" applyAlignment="1">
      <alignment horizontal="center"/>
    </xf>
    <xf numFmtId="0" fontId="31" fillId="0" borderId="6" xfId="1" applyFont="1" applyBorder="1" applyAlignment="1">
      <alignment horizontal="center" vertical="center" wrapText="1"/>
    </xf>
    <xf numFmtId="0" fontId="32" fillId="0" borderId="9" xfId="1" applyFont="1" applyBorder="1" applyAlignment="1">
      <alignment horizontal="center" vertical="center" wrapText="1"/>
    </xf>
    <xf numFmtId="0" fontId="32" fillId="0" borderId="26" xfId="1" applyFont="1" applyBorder="1" applyAlignment="1">
      <alignment horizontal="center" vertical="center" wrapText="1"/>
    </xf>
    <xf numFmtId="0" fontId="25" fillId="0" borderId="6" xfId="1" applyFont="1" applyBorder="1" applyAlignment="1">
      <alignment horizontal="center" vertical="center" wrapText="1"/>
    </xf>
    <xf numFmtId="0" fontId="25" fillId="0" borderId="7" xfId="1" applyFont="1" applyBorder="1" applyAlignment="1">
      <alignment horizontal="center" vertical="center" wrapText="1"/>
    </xf>
    <xf numFmtId="0" fontId="25" fillId="0" borderId="11" xfId="1" applyFont="1" applyBorder="1" applyAlignment="1">
      <alignment horizontal="center" vertical="center" wrapText="1"/>
    </xf>
    <xf numFmtId="0" fontId="25" fillId="6" borderId="7" xfId="1" applyFont="1" applyFill="1" applyBorder="1" applyAlignment="1">
      <alignment horizontal="center" vertical="center" wrapText="1"/>
    </xf>
    <xf numFmtId="0" fontId="25" fillId="0" borderId="8" xfId="1" applyFont="1" applyBorder="1" applyAlignment="1">
      <alignment horizontal="center" vertical="center" wrapText="1"/>
    </xf>
    <xf numFmtId="0" fontId="32" fillId="0" borderId="42" xfId="1" applyFont="1" applyBorder="1" applyAlignment="1">
      <alignment horizontal="center" vertical="center" wrapText="1"/>
    </xf>
    <xf numFmtId="0" fontId="25" fillId="0" borderId="67" xfId="1" applyFont="1" applyBorder="1" applyAlignment="1">
      <alignment horizontal="center" vertical="center" wrapText="1"/>
    </xf>
    <xf numFmtId="0" fontId="25" fillId="0" borderId="68" xfId="1" applyFont="1" applyBorder="1" applyAlignment="1">
      <alignment horizontal="center" vertical="center" wrapText="1"/>
    </xf>
    <xf numFmtId="0" fontId="25" fillId="0" borderId="69" xfId="1" applyFont="1" applyBorder="1" applyAlignment="1">
      <alignment horizontal="center" vertical="center" wrapText="1"/>
    </xf>
    <xf numFmtId="0" fontId="25" fillId="6" borderId="68" xfId="1" applyFont="1" applyFill="1" applyBorder="1" applyAlignment="1">
      <alignment horizontal="center" vertical="center" wrapText="1"/>
    </xf>
    <xf numFmtId="0" fontId="25" fillId="0" borderId="70" xfId="1" applyFont="1" applyBorder="1" applyAlignment="1">
      <alignment horizontal="center" vertical="center" wrapText="1"/>
    </xf>
    <xf numFmtId="0" fontId="43" fillId="0" borderId="0" xfId="0" applyFont="1" applyBorder="1"/>
    <xf numFmtId="0" fontId="25" fillId="0" borderId="14" xfId="1" applyFont="1" applyBorder="1" applyAlignment="1">
      <alignment horizontal="center" vertical="center" wrapText="1"/>
    </xf>
    <xf numFmtId="0" fontId="25" fillId="6" borderId="49" xfId="1" applyFont="1" applyFill="1" applyBorder="1" applyAlignment="1">
      <alignment horizontal="center" vertical="center" wrapText="1"/>
    </xf>
    <xf numFmtId="0" fontId="25" fillId="0" borderId="12" xfId="1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 vertical="center"/>
    </xf>
    <xf numFmtId="0" fontId="6" fillId="0" borderId="18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0" fillId="0" borderId="5" xfId="0" applyBorder="1" applyAlignment="1">
      <alignment horizontal="left" vertical="center"/>
    </xf>
    <xf numFmtId="1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164" fontId="0" fillId="0" borderId="9" xfId="0" applyNumberFormat="1" applyFont="1" applyBorder="1" applyAlignment="1" applyProtection="1">
      <alignment horizontal="center"/>
      <protection locked="0"/>
    </xf>
    <xf numFmtId="164" fontId="0" fillId="0" borderId="25" xfId="0" applyNumberFormat="1" applyFont="1" applyBorder="1" applyAlignment="1" applyProtection="1">
      <alignment horizontal="center"/>
      <protection locked="0"/>
    </xf>
    <xf numFmtId="164" fontId="0" fillId="0" borderId="26" xfId="0" applyNumberFormat="1" applyFont="1" applyBorder="1" applyAlignment="1" applyProtection="1">
      <alignment horizontal="center"/>
      <protection locked="0"/>
    </xf>
    <xf numFmtId="164" fontId="0" fillId="0" borderId="27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center"/>
    </xf>
    <xf numFmtId="0" fontId="0" fillId="2" borderId="9" xfId="0" applyFill="1" applyBorder="1" applyAlignment="1" applyProtection="1">
      <alignment horizontal="center"/>
    </xf>
    <xf numFmtId="0" fontId="0" fillId="2" borderId="10" xfId="0" applyFill="1" applyBorder="1" applyAlignment="1" applyProtection="1">
      <alignment horizont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4" fontId="0" fillId="0" borderId="34" xfId="0" applyNumberFormat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38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9" fillId="0" borderId="0" xfId="0" applyFont="1" applyBorder="1" applyAlignment="1">
      <alignment horizontal="left" vertical="center"/>
    </xf>
    <xf numFmtId="0" fontId="0" fillId="0" borderId="26" xfId="0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  <protection locked="0"/>
    </xf>
    <xf numFmtId="1" fontId="0" fillId="0" borderId="29" xfId="0" applyNumberFormat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 vertical="center"/>
    </xf>
    <xf numFmtId="0" fontId="6" fillId="0" borderId="20" xfId="0" applyFont="1" applyBorder="1" applyAlignment="1" applyProtection="1">
      <alignment horizontal="center" vertical="center"/>
    </xf>
    <xf numFmtId="0" fontId="9" fillId="0" borderId="19" xfId="0" applyFont="1" applyFill="1" applyBorder="1" applyAlignment="1" applyProtection="1">
      <alignment horizontal="center" wrapText="1"/>
    </xf>
    <xf numFmtId="0" fontId="0" fillId="2" borderId="21" xfId="0" applyFill="1" applyBorder="1" applyAlignment="1" applyProtection="1">
      <alignment horizontal="center" wrapText="1"/>
    </xf>
    <xf numFmtId="0" fontId="0" fillId="2" borderId="22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 wrapText="1"/>
    </xf>
    <xf numFmtId="0" fontId="0" fillId="2" borderId="23" xfId="0" applyFill="1" applyBorder="1" applyAlignment="1" applyProtection="1">
      <alignment horizontal="center" wrapText="1"/>
    </xf>
    <xf numFmtId="1" fontId="0" fillId="0" borderId="24" xfId="0" applyNumberFormat="1" applyBorder="1" applyAlignment="1" applyProtection="1">
      <alignment horizontal="center"/>
      <protection locked="0"/>
    </xf>
    <xf numFmtId="1" fontId="0" fillId="0" borderId="11" xfId="0" applyNumberFormat="1" applyBorder="1" applyAlignment="1" applyProtection="1">
      <alignment horizontal="center"/>
      <protection locked="0"/>
    </xf>
    <xf numFmtId="1" fontId="0" fillId="0" borderId="32" xfId="0" applyNumberFormat="1" applyBorder="1" applyAlignment="1" applyProtection="1">
      <alignment horizontal="center"/>
      <protection locked="0"/>
    </xf>
    <xf numFmtId="1" fontId="0" fillId="0" borderId="14" xfId="0" applyNumberForma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164" fontId="0" fillId="0" borderId="12" xfId="0" applyNumberFormat="1" applyFont="1" applyBorder="1" applyAlignment="1" applyProtection="1">
      <alignment horizontal="center"/>
      <protection locked="0"/>
    </xf>
    <xf numFmtId="164" fontId="0" fillId="0" borderId="31" xfId="0" applyNumberFormat="1" applyFont="1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49" fontId="0" fillId="0" borderId="37" xfId="0" applyNumberFormat="1" applyBorder="1" applyAlignment="1" applyProtection="1">
      <alignment horizontal="center" vertical="center"/>
    </xf>
    <xf numFmtId="49" fontId="0" fillId="0" borderId="34" xfId="0" applyNumberFormat="1" applyBorder="1" applyAlignment="1" applyProtection="1">
      <alignment horizontal="center" vertical="center"/>
    </xf>
    <xf numFmtId="49" fontId="0" fillId="0" borderId="35" xfId="0" applyNumberFormat="1" applyBorder="1" applyAlignment="1" applyProtection="1">
      <alignment horizontal="center" vertical="center"/>
    </xf>
    <xf numFmtId="49" fontId="0" fillId="0" borderId="38" xfId="0" applyNumberFormat="1" applyBorder="1" applyAlignment="1" applyProtection="1">
      <alignment horizontal="center" vertical="center"/>
    </xf>
    <xf numFmtId="49" fontId="0" fillId="0" borderId="19" xfId="0" applyNumberFormat="1" applyBorder="1" applyAlignment="1" applyProtection="1">
      <alignment horizontal="center" vertical="center"/>
    </xf>
    <xf numFmtId="49" fontId="0" fillId="0" borderId="36" xfId="0" applyNumberFormat="1" applyBorder="1" applyAlignment="1" applyProtection="1">
      <alignment horizontal="center" vertical="center"/>
    </xf>
    <xf numFmtId="14" fontId="0" fillId="0" borderId="37" xfId="0" applyNumberFormat="1" applyBorder="1" applyAlignment="1" applyProtection="1">
      <alignment horizontal="center" vertical="center"/>
    </xf>
    <xf numFmtId="14" fontId="0" fillId="0" borderId="34" xfId="0" applyNumberFormat="1" applyBorder="1" applyAlignment="1" applyProtection="1">
      <alignment horizontal="center" vertical="center"/>
    </xf>
    <xf numFmtId="14" fontId="0" fillId="0" borderId="35" xfId="0" applyNumberFormat="1" applyBorder="1" applyAlignment="1" applyProtection="1">
      <alignment horizontal="center" vertical="center"/>
    </xf>
    <xf numFmtId="14" fontId="0" fillId="0" borderId="38" xfId="0" applyNumberFormat="1" applyBorder="1" applyAlignment="1" applyProtection="1">
      <alignment horizontal="center" vertical="center"/>
    </xf>
    <xf numFmtId="14" fontId="0" fillId="0" borderId="19" xfId="0" applyNumberFormat="1" applyBorder="1" applyAlignment="1" applyProtection="1">
      <alignment horizontal="center" vertical="center"/>
    </xf>
    <xf numFmtId="14" fontId="0" fillId="0" borderId="36" xfId="0" applyNumberFormat="1" applyBorder="1" applyAlignment="1" applyProtection="1">
      <alignment horizontal="center" vertical="center"/>
    </xf>
    <xf numFmtId="0" fontId="0" fillId="0" borderId="37" xfId="0" applyFill="1" applyBorder="1" applyAlignment="1" applyProtection="1">
      <alignment horizontal="center"/>
    </xf>
    <xf numFmtId="0" fontId="0" fillId="0" borderId="34" xfId="0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/>
    </xf>
    <xf numFmtId="0" fontId="0" fillId="0" borderId="38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0" fontId="21" fillId="0" borderId="7" xfId="1" applyFont="1" applyBorder="1" applyAlignment="1" applyProtection="1">
      <alignment horizontal="center" vertical="center" wrapText="1"/>
      <protection locked="0"/>
    </xf>
    <xf numFmtId="0" fontId="21" fillId="0" borderId="8" xfId="1" applyFont="1" applyBorder="1" applyAlignment="1" applyProtection="1">
      <alignment horizontal="center" vertical="center" wrapText="1"/>
      <protection locked="0"/>
    </xf>
    <xf numFmtId="0" fontId="22" fillId="0" borderId="42" xfId="1" applyFont="1" applyBorder="1" applyAlignment="1">
      <alignment horizontal="center" vertical="center" wrapText="1"/>
    </xf>
    <xf numFmtId="0" fontId="22" fillId="0" borderId="43" xfId="1" applyFont="1" applyBorder="1" applyAlignment="1">
      <alignment horizontal="center" vertical="center" wrapText="1"/>
    </xf>
    <xf numFmtId="0" fontId="23" fillId="0" borderId="43" xfId="1" applyFont="1" applyBorder="1" applyAlignment="1" applyProtection="1">
      <alignment horizontal="left" vertical="center" wrapText="1"/>
      <protection locked="0"/>
    </xf>
    <xf numFmtId="0" fontId="22" fillId="0" borderId="43" xfId="1" applyFont="1" applyBorder="1" applyAlignment="1">
      <alignment horizontal="center" vertical="center"/>
    </xf>
    <xf numFmtId="14" fontId="21" fillId="0" borderId="43" xfId="1" applyNumberFormat="1" applyFont="1" applyBorder="1" applyAlignment="1" applyProtection="1">
      <alignment horizontal="center" vertical="center"/>
      <protection locked="0"/>
    </xf>
    <xf numFmtId="0" fontId="21" fillId="0" borderId="43" xfId="1" applyFont="1" applyBorder="1" applyAlignment="1" applyProtection="1">
      <alignment horizontal="center" vertical="center"/>
      <protection locked="0"/>
    </xf>
    <xf numFmtId="0" fontId="21" fillId="0" borderId="43" xfId="1" applyFont="1" applyBorder="1" applyAlignment="1" applyProtection="1">
      <alignment horizontal="center" vertical="center" wrapText="1"/>
      <protection locked="0"/>
    </xf>
    <xf numFmtId="0" fontId="21" fillId="0" borderId="47" xfId="1" applyFont="1" applyBorder="1" applyAlignment="1" applyProtection="1">
      <alignment horizontal="center" vertical="center" wrapText="1"/>
      <protection locked="0"/>
    </xf>
    <xf numFmtId="0" fontId="20" fillId="0" borderId="0" xfId="1" applyFont="1" applyAlignment="1">
      <alignment horizontal="left" vertical="center"/>
    </xf>
    <xf numFmtId="0" fontId="20" fillId="0" borderId="19" xfId="1" applyFont="1" applyBorder="1" applyAlignment="1">
      <alignment horizontal="left" vertical="center"/>
    </xf>
    <xf numFmtId="0" fontId="21" fillId="0" borderId="0" xfId="1" applyFont="1" applyFill="1" applyAlignment="1">
      <alignment horizontal="center" vertical="center"/>
    </xf>
    <xf numFmtId="0" fontId="21" fillId="0" borderId="19" xfId="1" applyFont="1" applyFill="1" applyBorder="1" applyAlignment="1">
      <alignment horizontal="center" vertical="center"/>
    </xf>
    <xf numFmtId="0" fontId="21" fillId="0" borderId="0" xfId="1" applyFont="1" applyFill="1" applyAlignment="1">
      <alignment horizontal="left" vertical="center"/>
    </xf>
    <xf numFmtId="0" fontId="21" fillId="0" borderId="19" xfId="1" applyFont="1" applyFill="1" applyBorder="1" applyAlignment="1">
      <alignment horizontal="left" vertical="center"/>
    </xf>
    <xf numFmtId="0" fontId="22" fillId="0" borderId="6" xfId="1" applyFont="1" applyBorder="1" applyAlignment="1">
      <alignment horizontal="center" vertical="center" wrapText="1"/>
    </xf>
    <xf numFmtId="0" fontId="22" fillId="0" borderId="7" xfId="1" applyFont="1" applyBorder="1" applyAlignment="1">
      <alignment horizontal="center" vertical="center" wrapText="1"/>
    </xf>
    <xf numFmtId="0" fontId="23" fillId="0" borderId="7" xfId="1" applyFont="1" applyBorder="1" applyAlignment="1" applyProtection="1">
      <alignment horizontal="left" vertical="center" wrapText="1"/>
      <protection locked="0"/>
    </xf>
    <xf numFmtId="0" fontId="22" fillId="0" borderId="7" xfId="1" applyFont="1" applyBorder="1" applyAlignment="1">
      <alignment horizontal="center" vertical="center"/>
    </xf>
    <xf numFmtId="0" fontId="21" fillId="0" borderId="7" xfId="1" applyFont="1" applyBorder="1" applyAlignment="1" applyProtection="1">
      <alignment horizontal="center" vertical="center"/>
      <protection locked="0"/>
    </xf>
    <xf numFmtId="0" fontId="22" fillId="0" borderId="40" xfId="1" applyFont="1" applyFill="1" applyBorder="1" applyAlignment="1">
      <alignment horizontal="center" vertical="center" wrapText="1"/>
    </xf>
    <xf numFmtId="0" fontId="22" fillId="0" borderId="2" xfId="1" applyFont="1" applyFill="1" applyBorder="1" applyAlignment="1">
      <alignment horizontal="center" vertical="center" wrapText="1"/>
    </xf>
    <xf numFmtId="0" fontId="22" fillId="0" borderId="41" xfId="1" applyFont="1" applyFill="1" applyBorder="1" applyAlignment="1">
      <alignment horizontal="center" vertical="center" wrapText="1"/>
    </xf>
    <xf numFmtId="0" fontId="22" fillId="0" borderId="44" xfId="1" applyFont="1" applyFill="1" applyBorder="1" applyAlignment="1">
      <alignment horizontal="center" vertical="center" wrapText="1"/>
    </xf>
    <xf numFmtId="0" fontId="22" fillId="0" borderId="45" xfId="1" applyFont="1" applyFill="1" applyBorder="1" applyAlignment="1">
      <alignment horizontal="center" vertical="center" wrapText="1"/>
    </xf>
    <xf numFmtId="0" fontId="22" fillId="0" borderId="46" xfId="1" applyFont="1" applyFill="1" applyBorder="1" applyAlignment="1">
      <alignment horizontal="center" vertical="center" wrapText="1"/>
    </xf>
    <xf numFmtId="0" fontId="24" fillId="0" borderId="40" xfId="1" applyFont="1" applyBorder="1" applyAlignment="1" applyProtection="1">
      <alignment horizontal="center" vertical="center"/>
      <protection locked="0"/>
    </xf>
    <xf numFmtId="0" fontId="24" fillId="0" borderId="2" xfId="1" applyFont="1" applyBorder="1" applyAlignment="1" applyProtection="1">
      <alignment horizontal="center" vertical="center"/>
      <protection locked="0"/>
    </xf>
    <xf numFmtId="0" fontId="24" fillId="0" borderId="41" xfId="1" applyFont="1" applyBorder="1" applyAlignment="1" applyProtection="1">
      <alignment horizontal="center" vertical="center"/>
      <protection locked="0"/>
    </xf>
    <xf numFmtId="0" fontId="24" fillId="0" borderId="44" xfId="1" applyFont="1" applyBorder="1" applyAlignment="1" applyProtection="1">
      <alignment horizontal="center" vertical="center"/>
      <protection locked="0"/>
    </xf>
    <xf numFmtId="0" fontId="24" fillId="0" borderId="45" xfId="1" applyFont="1" applyBorder="1" applyAlignment="1" applyProtection="1">
      <alignment horizontal="center" vertical="center"/>
      <protection locked="0"/>
    </xf>
    <xf numFmtId="0" fontId="24" fillId="0" borderId="46" xfId="1" applyFont="1" applyBorder="1" applyAlignment="1" applyProtection="1">
      <alignment horizontal="center" vertical="center"/>
      <protection locked="0"/>
    </xf>
    <xf numFmtId="0" fontId="31" fillId="0" borderId="6" xfId="1" applyFont="1" applyBorder="1" applyAlignment="1">
      <alignment horizontal="center" vertical="center" wrapText="1"/>
    </xf>
    <xf numFmtId="0" fontId="31" fillId="0" borderId="51" xfId="1" applyFont="1" applyBorder="1" applyAlignment="1">
      <alignment horizontal="center" vertical="center" wrapText="1"/>
    </xf>
    <xf numFmtId="0" fontId="27" fillId="0" borderId="40" xfId="1" applyFont="1" applyFill="1" applyBorder="1" applyAlignment="1">
      <alignment horizontal="center" vertical="center" wrapText="1"/>
    </xf>
    <xf numFmtId="0" fontId="27" fillId="0" borderId="3" xfId="1" applyFont="1" applyFill="1" applyBorder="1" applyAlignment="1">
      <alignment horizontal="center" vertical="center" wrapText="1"/>
    </xf>
    <xf numFmtId="0" fontId="27" fillId="0" borderId="59" xfId="1" applyFont="1" applyFill="1" applyBorder="1" applyAlignment="1">
      <alignment horizontal="center" vertical="center" wrapText="1"/>
    </xf>
    <xf numFmtId="0" fontId="27" fillId="0" borderId="5" xfId="1" applyFont="1" applyFill="1" applyBorder="1" applyAlignment="1">
      <alignment horizontal="center" vertical="center" wrapText="1"/>
    </xf>
    <xf numFmtId="0" fontId="22" fillId="0" borderId="8" xfId="1" applyFont="1" applyBorder="1" applyAlignment="1">
      <alignment horizontal="center" vertical="center" wrapText="1"/>
    </xf>
    <xf numFmtId="0" fontId="22" fillId="0" borderId="48" xfId="1" applyFont="1" applyBorder="1" applyAlignment="1">
      <alignment horizontal="center" vertical="center" wrapText="1"/>
    </xf>
    <xf numFmtId="0" fontId="22" fillId="0" borderId="49" xfId="1" applyFont="1" applyBorder="1" applyAlignment="1">
      <alignment horizontal="center" vertical="center" wrapText="1"/>
    </xf>
    <xf numFmtId="0" fontId="22" fillId="0" borderId="50" xfId="1" applyFont="1" applyBorder="1" applyAlignment="1">
      <alignment horizontal="center" vertical="center" wrapText="1"/>
    </xf>
    <xf numFmtId="0" fontId="9" fillId="0" borderId="10" xfId="1" applyFont="1" applyBorder="1" applyAlignment="1">
      <alignment horizontal="center" vertical="center" wrapText="1"/>
    </xf>
    <xf numFmtId="0" fontId="9" fillId="0" borderId="25" xfId="1" applyFont="1" applyBorder="1" applyAlignment="1">
      <alignment horizontal="center" vertical="center" wrapText="1"/>
    </xf>
    <xf numFmtId="0" fontId="25" fillId="0" borderId="34" xfId="1" applyFont="1" applyBorder="1" applyAlignment="1">
      <alignment horizontal="center" vertical="center" wrapText="1"/>
    </xf>
    <xf numFmtId="0" fontId="25" fillId="0" borderId="35" xfId="1" applyFont="1" applyBorder="1" applyAlignment="1">
      <alignment horizontal="center" vertical="center" wrapText="1"/>
    </xf>
    <xf numFmtId="0" fontId="22" fillId="0" borderId="48" xfId="1" applyFont="1" applyBorder="1" applyAlignment="1">
      <alignment horizontal="right" vertical="center" wrapText="1"/>
    </xf>
    <xf numFmtId="0" fontId="22" fillId="0" borderId="12" xfId="1" applyFont="1" applyBorder="1" applyAlignment="1">
      <alignment horizontal="right" vertical="center" wrapText="1"/>
    </xf>
    <xf numFmtId="0" fontId="21" fillId="0" borderId="49" xfId="1" applyFont="1" applyBorder="1" applyAlignment="1" applyProtection="1">
      <alignment horizontal="left" vertical="center" wrapText="1"/>
      <protection locked="0"/>
    </xf>
    <xf numFmtId="0" fontId="22" fillId="0" borderId="49" xfId="1" applyFont="1" applyBorder="1" applyAlignment="1">
      <alignment horizontal="right" vertical="center" wrapText="1"/>
    </xf>
    <xf numFmtId="0" fontId="22" fillId="0" borderId="49" xfId="1" applyFont="1" applyBorder="1" applyAlignment="1">
      <alignment horizontal="center" vertical="center"/>
    </xf>
    <xf numFmtId="0" fontId="21" fillId="0" borderId="49" xfId="1" applyFont="1" applyFill="1" applyBorder="1" applyAlignment="1" applyProtection="1">
      <alignment horizontal="center" vertical="center" wrapText="1"/>
      <protection locked="0"/>
    </xf>
    <xf numFmtId="0" fontId="22" fillId="0" borderId="40" xfId="1" applyFont="1" applyBorder="1" applyAlignment="1">
      <alignment horizontal="center" vertical="center" wrapText="1"/>
    </xf>
    <xf numFmtId="0" fontId="22" fillId="0" borderId="2" xfId="1" applyFont="1" applyBorder="1" applyAlignment="1">
      <alignment horizontal="center" vertical="center" wrapText="1"/>
    </xf>
    <xf numFmtId="0" fontId="22" fillId="0" borderId="59" xfId="1" applyFont="1" applyBorder="1" applyAlignment="1">
      <alignment horizontal="center" vertical="center" wrapText="1"/>
    </xf>
    <xf numFmtId="0" fontId="22" fillId="0" borderId="0" xfId="1" applyFont="1" applyBorder="1" applyAlignment="1">
      <alignment horizontal="center" vertical="center" wrapText="1"/>
    </xf>
    <xf numFmtId="0" fontId="9" fillId="0" borderId="22" xfId="1" applyFont="1" applyBorder="1" applyAlignment="1">
      <alignment horizontal="center" vertical="center" wrapText="1"/>
    </xf>
    <xf numFmtId="0" fontId="9" fillId="0" borderId="60" xfId="1" applyFont="1" applyBorder="1" applyAlignment="1">
      <alignment horizontal="center" vertical="center" wrapText="1"/>
    </xf>
    <xf numFmtId="0" fontId="26" fillId="0" borderId="11" xfId="1" applyFont="1" applyBorder="1" applyAlignment="1" applyProtection="1">
      <alignment horizontal="center" vertical="center" wrapText="1"/>
      <protection locked="0"/>
    </xf>
    <xf numFmtId="0" fontId="26" fillId="0" borderId="7" xfId="1" applyFont="1" applyBorder="1" applyAlignment="1" applyProtection="1">
      <alignment horizontal="center" vertical="center" wrapText="1"/>
      <protection locked="0"/>
    </xf>
    <xf numFmtId="0" fontId="26" fillId="0" borderId="29" xfId="1" applyFont="1" applyBorder="1" applyAlignment="1" applyProtection="1">
      <alignment horizontal="center" vertical="center" wrapText="1"/>
      <protection locked="0"/>
    </xf>
    <xf numFmtId="0" fontId="26" fillId="0" borderId="43" xfId="1" applyFont="1" applyBorder="1" applyAlignment="1" applyProtection="1">
      <alignment horizontal="center" vertical="center" wrapText="1"/>
      <protection locked="0"/>
    </xf>
    <xf numFmtId="0" fontId="22" fillId="0" borderId="12" xfId="1" applyFont="1" applyFill="1" applyBorder="1" applyAlignment="1">
      <alignment horizontal="center" vertical="center"/>
    </xf>
    <xf numFmtId="0" fontId="22" fillId="0" borderId="13" xfId="1" applyFont="1" applyFill="1" applyBorder="1" applyAlignment="1">
      <alignment horizontal="center" vertical="center"/>
    </xf>
    <xf numFmtId="0" fontId="22" fillId="0" borderId="14" xfId="1" applyFont="1" applyFill="1" applyBorder="1" applyAlignment="1">
      <alignment horizontal="center" vertical="center"/>
    </xf>
    <xf numFmtId="0" fontId="21" fillId="0" borderId="12" xfId="1" applyFont="1" applyBorder="1" applyAlignment="1" applyProtection="1">
      <alignment horizontal="center" vertical="center"/>
      <protection locked="0"/>
    </xf>
    <xf numFmtId="0" fontId="21" fillId="0" borderId="13" xfId="1" applyFont="1" applyBorder="1" applyAlignment="1" applyProtection="1">
      <alignment horizontal="center" vertical="center"/>
      <protection locked="0"/>
    </xf>
    <xf numFmtId="0" fontId="21" fillId="0" borderId="14" xfId="1" applyFont="1" applyBorder="1" applyAlignment="1" applyProtection="1">
      <alignment horizontal="center" vertical="center"/>
      <protection locked="0"/>
    </xf>
    <xf numFmtId="0" fontId="21" fillId="0" borderId="50" xfId="1" applyFont="1" applyFill="1" applyBorder="1" applyAlignment="1" applyProtection="1">
      <alignment horizontal="center" vertical="center" wrapText="1"/>
      <protection locked="0"/>
    </xf>
    <xf numFmtId="0" fontId="36" fillId="0" borderId="7" xfId="1" applyFont="1" applyFill="1" applyBorder="1" applyAlignment="1" applyProtection="1">
      <alignment horizontal="left" vertical="center" wrapText="1"/>
      <protection locked="0"/>
    </xf>
    <xf numFmtId="0" fontId="36" fillId="0" borderId="43" xfId="1" applyFont="1" applyFill="1" applyBorder="1" applyAlignment="1" applyProtection="1">
      <alignment horizontal="left" vertical="center" wrapText="1"/>
      <protection locked="0"/>
    </xf>
    <xf numFmtId="0" fontId="26" fillId="0" borderId="14" xfId="1" applyFont="1" applyBorder="1" applyAlignment="1" applyProtection="1">
      <alignment horizontal="center" vertical="center" wrapText="1"/>
      <protection locked="0"/>
    </xf>
    <xf numFmtId="0" fontId="26" fillId="0" borderId="49" xfId="1" applyFont="1" applyBorder="1" applyAlignment="1" applyProtection="1">
      <alignment horizontal="center" vertical="center" wrapText="1"/>
      <protection locked="0"/>
    </xf>
    <xf numFmtId="0" fontId="26" fillId="0" borderId="53" xfId="1" applyFont="1" applyBorder="1" applyAlignment="1">
      <alignment horizontal="right" vertical="center" wrapText="1"/>
    </xf>
    <xf numFmtId="0" fontId="26" fillId="0" borderId="54" xfId="1" applyFont="1" applyBorder="1" applyAlignment="1">
      <alignment horizontal="right" vertical="center" wrapText="1"/>
    </xf>
    <xf numFmtId="0" fontId="26" fillId="0" borderId="55" xfId="1" applyFont="1" applyBorder="1" applyAlignment="1">
      <alignment horizontal="right" vertical="center" wrapText="1"/>
    </xf>
    <xf numFmtId="0" fontId="26" fillId="0" borderId="42" xfId="1" applyFont="1" applyFill="1" applyBorder="1" applyAlignment="1">
      <alignment horizontal="right" vertical="center" wrapText="1"/>
    </xf>
    <xf numFmtId="0" fontId="26" fillId="0" borderId="43" xfId="1" applyFont="1" applyFill="1" applyBorder="1" applyAlignment="1">
      <alignment horizontal="right" vertical="center" wrapText="1"/>
    </xf>
    <xf numFmtId="0" fontId="26" fillId="0" borderId="47" xfId="1" applyFont="1" applyFill="1" applyBorder="1" applyAlignment="1">
      <alignment horizontal="right" vertical="center" wrapText="1"/>
    </xf>
    <xf numFmtId="0" fontId="36" fillId="0" borderId="49" xfId="1" applyFont="1" applyBorder="1" applyAlignment="1" applyProtection="1">
      <alignment horizontal="left" vertical="center" wrapText="1"/>
      <protection locked="0"/>
    </xf>
    <xf numFmtId="0" fontId="26" fillId="0" borderId="48" xfId="1" applyFont="1" applyBorder="1" applyAlignment="1">
      <alignment horizontal="right" vertical="center" wrapText="1"/>
    </xf>
    <xf numFmtId="0" fontId="26" fillId="0" borderId="49" xfId="1" applyFont="1" applyBorder="1" applyAlignment="1">
      <alignment horizontal="right" vertical="center" wrapText="1"/>
    </xf>
    <xf numFmtId="0" fontId="26" fillId="0" borderId="50" xfId="1" applyFont="1" applyBorder="1" applyAlignment="1">
      <alignment horizontal="right" vertical="center" wrapText="1"/>
    </xf>
    <xf numFmtId="0" fontId="26" fillId="0" borderId="35" xfId="1" applyFont="1" applyBorder="1" applyAlignment="1" applyProtection="1">
      <alignment horizontal="center" vertical="center" wrapText="1"/>
      <protection locked="0"/>
    </xf>
    <xf numFmtId="0" fontId="26" fillId="0" borderId="56" xfId="1" applyFont="1" applyBorder="1" applyAlignment="1" applyProtection="1">
      <alignment horizontal="center" vertical="center" wrapText="1"/>
      <protection locked="0"/>
    </xf>
    <xf numFmtId="0" fontId="28" fillId="0" borderId="4" xfId="1" applyFont="1" applyFill="1" applyBorder="1" applyAlignment="1">
      <alignment horizontal="center" vertical="center" wrapText="1"/>
    </xf>
    <xf numFmtId="0" fontId="28" fillId="0" borderId="0" xfId="1" applyFont="1" applyFill="1" applyBorder="1" applyAlignment="1">
      <alignment horizontal="center" vertical="center" wrapText="1"/>
    </xf>
    <xf numFmtId="0" fontId="25" fillId="0" borderId="0" xfId="1" applyFont="1" applyFill="1" applyBorder="1" applyAlignment="1">
      <alignment horizontal="center" wrapText="1"/>
    </xf>
    <xf numFmtId="0" fontId="26" fillId="0" borderId="0" xfId="1" applyFont="1" applyFill="1" applyBorder="1" applyAlignment="1">
      <alignment horizontal="right" vertical="center" wrapText="1"/>
    </xf>
    <xf numFmtId="0" fontId="32" fillId="0" borderId="1" xfId="1" applyFont="1" applyBorder="1" applyAlignment="1">
      <alignment horizontal="center" vertical="center" wrapText="1"/>
    </xf>
    <xf numFmtId="0" fontId="32" fillId="0" borderId="2" xfId="1" applyFont="1" applyBorder="1" applyAlignment="1">
      <alignment horizontal="center" vertical="center" wrapText="1"/>
    </xf>
    <xf numFmtId="0" fontId="32" fillId="0" borderId="3" xfId="1" applyFont="1" applyBorder="1" applyAlignment="1">
      <alignment horizontal="center" vertical="center" wrapText="1"/>
    </xf>
    <xf numFmtId="0" fontId="32" fillId="0" borderId="4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5" xfId="1" applyFont="1" applyBorder="1" applyAlignment="1">
      <alignment horizontal="center" vertical="center" wrapText="1"/>
    </xf>
    <xf numFmtId="0" fontId="32" fillId="0" borderId="57" xfId="1" applyFont="1" applyBorder="1" applyAlignment="1">
      <alignment horizontal="center" vertical="center" wrapText="1"/>
    </xf>
    <xf numFmtId="0" fontId="32" fillId="0" borderId="45" xfId="1" applyFont="1" applyBorder="1" applyAlignment="1">
      <alignment horizontal="center" vertical="center" wrapText="1"/>
    </xf>
    <xf numFmtId="0" fontId="32" fillId="0" borderId="58" xfId="1" applyFont="1" applyBorder="1" applyAlignment="1">
      <alignment horizontal="center" vertical="center" wrapText="1"/>
    </xf>
    <xf numFmtId="0" fontId="25" fillId="0" borderId="0" xfId="1" applyFont="1" applyFill="1" applyBorder="1" applyAlignment="1">
      <alignment horizontal="center" vertical="top" wrapText="1"/>
    </xf>
    <xf numFmtId="0" fontId="34" fillId="0" borderId="47" xfId="1" applyFont="1" applyFill="1" applyBorder="1" applyAlignment="1" applyProtection="1">
      <alignment horizontal="center" vertical="center" wrapText="1"/>
      <protection locked="0"/>
    </xf>
    <xf numFmtId="0" fontId="22" fillId="0" borderId="24" xfId="1" applyFont="1" applyFill="1" applyBorder="1" applyAlignment="1">
      <alignment horizontal="right" vertical="center" wrapText="1"/>
    </xf>
    <xf numFmtId="0" fontId="22" fillId="0" borderId="10" xfId="1" applyFont="1" applyFill="1" applyBorder="1" applyAlignment="1">
      <alignment horizontal="right" vertical="center" wrapText="1"/>
    </xf>
    <xf numFmtId="0" fontId="22" fillId="0" borderId="25" xfId="1" applyFont="1" applyFill="1" applyBorder="1" applyAlignment="1">
      <alignment horizontal="right" vertical="center" wrapText="1"/>
    </xf>
    <xf numFmtId="0" fontId="25" fillId="0" borderId="53" xfId="1" applyFont="1" applyBorder="1" applyAlignment="1">
      <alignment horizontal="center" vertical="center" wrapText="1"/>
    </xf>
    <xf numFmtId="0" fontId="25" fillId="0" borderId="54" xfId="1" applyFont="1" applyBorder="1" applyAlignment="1">
      <alignment horizontal="center" vertical="center" wrapText="1"/>
    </xf>
    <xf numFmtId="0" fontId="25" fillId="0" borderId="55" xfId="1" applyFont="1" applyBorder="1" applyAlignment="1">
      <alignment horizontal="center" vertical="center" wrapText="1"/>
    </xf>
    <xf numFmtId="0" fontId="25" fillId="0" borderId="42" xfId="1" applyFont="1" applyBorder="1" applyAlignment="1">
      <alignment horizontal="center" vertical="center" wrapText="1"/>
    </xf>
    <xf numFmtId="0" fontId="25" fillId="0" borderId="43" xfId="1" applyFont="1" applyBorder="1" applyAlignment="1">
      <alignment horizontal="center" vertical="center" wrapText="1"/>
    </xf>
    <xf numFmtId="0" fontId="25" fillId="0" borderId="47" xfId="1" applyFont="1" applyBorder="1" applyAlignment="1">
      <alignment horizontal="center" vertical="center" wrapText="1"/>
    </xf>
    <xf numFmtId="0" fontId="25" fillId="0" borderId="48" xfId="1" applyFont="1" applyBorder="1" applyAlignment="1">
      <alignment horizontal="center" vertical="center" wrapText="1"/>
    </xf>
    <xf numFmtId="0" fontId="25" fillId="0" borderId="49" xfId="1" applyFont="1" applyBorder="1" applyAlignment="1">
      <alignment horizontal="center" vertical="center" wrapText="1"/>
    </xf>
    <xf numFmtId="0" fontId="25" fillId="0" borderId="50" xfId="1" applyFont="1" applyBorder="1" applyAlignment="1">
      <alignment horizontal="center" vertical="center" wrapText="1"/>
    </xf>
    <xf numFmtId="0" fontId="22" fillId="0" borderId="30" xfId="1" applyFont="1" applyFill="1" applyBorder="1" applyAlignment="1">
      <alignment horizontal="right" vertical="center" wrapText="1"/>
    </xf>
    <xf numFmtId="0" fontId="22" fillId="0" borderId="28" xfId="1" applyFont="1" applyFill="1" applyBorder="1" applyAlignment="1">
      <alignment horizontal="right" vertical="center" wrapText="1"/>
    </xf>
    <xf numFmtId="0" fontId="22" fillId="0" borderId="27" xfId="1" applyFont="1" applyFill="1" applyBorder="1" applyAlignment="1">
      <alignment horizontal="right" vertical="center" wrapText="1"/>
    </xf>
    <xf numFmtId="0" fontId="22" fillId="0" borderId="32" xfId="1" applyFont="1" applyFill="1" applyBorder="1" applyAlignment="1">
      <alignment horizontal="right" vertical="center" wrapText="1"/>
    </xf>
    <xf numFmtId="0" fontId="22" fillId="0" borderId="13" xfId="1" applyFont="1" applyFill="1" applyBorder="1" applyAlignment="1">
      <alignment horizontal="right" vertical="center" wrapText="1"/>
    </xf>
    <xf numFmtId="0" fontId="22" fillId="0" borderId="31" xfId="1" applyFont="1" applyFill="1" applyBorder="1" applyAlignment="1">
      <alignment horizontal="right" vertical="center" wrapText="1"/>
    </xf>
    <xf numFmtId="0" fontId="4" fillId="0" borderId="0" xfId="1" applyBorder="1" applyAlignment="1">
      <alignment horizontal="center"/>
    </xf>
    <xf numFmtId="0" fontId="9" fillId="0" borderId="6" xfId="1" applyFont="1" applyFill="1" applyBorder="1" applyAlignment="1">
      <alignment horizontal="center" vertical="center" wrapText="1"/>
    </xf>
    <xf numFmtId="0" fontId="25" fillId="0" borderId="42" xfId="1" applyFont="1" applyFill="1" applyBorder="1" applyAlignment="1">
      <alignment horizontal="center" vertical="center" wrapText="1"/>
    </xf>
    <xf numFmtId="0" fontId="26" fillId="0" borderId="7" xfId="1" applyFont="1" applyFill="1" applyBorder="1" applyAlignment="1" applyProtection="1">
      <alignment horizontal="left" vertical="center" wrapText="1"/>
      <protection locked="0"/>
    </xf>
    <xf numFmtId="0" fontId="26" fillId="0" borderId="9" xfId="1" applyFont="1" applyFill="1" applyBorder="1" applyAlignment="1" applyProtection="1">
      <alignment horizontal="left" vertical="center" wrapText="1"/>
      <protection locked="0"/>
    </xf>
    <xf numFmtId="0" fontId="26" fillId="0" borderId="8" xfId="1" applyFont="1" applyFill="1" applyBorder="1" applyAlignment="1" applyProtection="1">
      <alignment horizontal="left" vertical="center" wrapText="1"/>
      <protection locked="0"/>
    </xf>
    <xf numFmtId="0" fontId="26" fillId="0" borderId="43" xfId="1" applyFont="1" applyFill="1" applyBorder="1" applyAlignment="1" applyProtection="1">
      <alignment horizontal="left" vertical="center" wrapText="1"/>
      <protection locked="0"/>
    </xf>
    <xf numFmtId="0" fontId="26" fillId="0" borderId="26" xfId="1" applyFont="1" applyFill="1" applyBorder="1" applyAlignment="1" applyProtection="1">
      <alignment horizontal="left" vertical="center" wrapText="1"/>
      <protection locked="0"/>
    </xf>
    <xf numFmtId="0" fontId="26" fillId="0" borderId="47" xfId="1" applyFont="1" applyFill="1" applyBorder="1" applyAlignment="1" applyProtection="1">
      <alignment horizontal="left" vertical="center" wrapText="1"/>
      <protection locked="0"/>
    </xf>
    <xf numFmtId="0" fontId="25" fillId="0" borderId="43" xfId="1" applyFont="1" applyFill="1" applyBorder="1" applyAlignment="1">
      <alignment horizontal="center" vertical="center" wrapText="1"/>
    </xf>
    <xf numFmtId="0" fontId="25" fillId="0" borderId="51" xfId="1" applyFont="1" applyFill="1" applyBorder="1" applyAlignment="1">
      <alignment horizontal="center" vertical="center" wrapText="1"/>
    </xf>
    <xf numFmtId="0" fontId="26" fillId="0" borderId="56" xfId="1" applyFont="1" applyFill="1" applyBorder="1" applyAlignment="1" applyProtection="1">
      <alignment horizontal="left" vertical="center" wrapText="1"/>
      <protection locked="0"/>
    </xf>
    <xf numFmtId="0" fontId="26" fillId="0" borderId="37" xfId="1" applyFont="1" applyFill="1" applyBorder="1" applyAlignment="1" applyProtection="1">
      <alignment horizontal="left" vertical="center" wrapText="1"/>
      <protection locked="0"/>
    </xf>
    <xf numFmtId="0" fontId="26" fillId="0" borderId="52" xfId="1" applyFont="1" applyFill="1" applyBorder="1" applyAlignment="1" applyProtection="1">
      <alignment horizontal="left" vertical="center" wrapText="1"/>
      <protection locked="0"/>
    </xf>
    <xf numFmtId="0" fontId="26" fillId="0" borderId="42" xfId="1" applyFont="1" applyBorder="1" applyAlignment="1" applyProtection="1">
      <alignment horizontal="center" vertical="center" wrapText="1"/>
      <protection locked="0"/>
    </xf>
    <xf numFmtId="0" fontId="26" fillId="0" borderId="43" xfId="1" applyFont="1" applyBorder="1" applyAlignment="1" applyProtection="1">
      <alignment horizontal="left" vertical="center" wrapText="1"/>
      <protection locked="0"/>
    </xf>
    <xf numFmtId="0" fontId="26" fillId="0" borderId="47" xfId="1" applyFont="1" applyBorder="1" applyAlignment="1" applyProtection="1">
      <alignment horizontal="left" vertical="center" wrapText="1"/>
      <protection locked="0"/>
    </xf>
    <xf numFmtId="0" fontId="21" fillId="0" borderId="7" xfId="1" applyFont="1" applyBorder="1" applyAlignment="1">
      <alignment horizontal="center" vertical="center" wrapText="1"/>
    </xf>
    <xf numFmtId="0" fontId="21" fillId="0" borderId="8" xfId="1" applyFont="1" applyBorder="1" applyAlignment="1">
      <alignment horizontal="center" vertical="center" wrapText="1"/>
    </xf>
    <xf numFmtId="0" fontId="26" fillId="0" borderId="48" xfId="1" applyFont="1" applyBorder="1" applyAlignment="1" applyProtection="1">
      <alignment horizontal="center" vertical="center" wrapText="1"/>
      <protection locked="0"/>
    </xf>
    <xf numFmtId="0" fontId="26" fillId="0" borderId="49" xfId="1" applyFont="1" applyBorder="1" applyAlignment="1" applyProtection="1">
      <alignment horizontal="left" vertical="center" wrapText="1"/>
      <protection locked="0"/>
    </xf>
    <xf numFmtId="0" fontId="26" fillId="0" borderId="50" xfId="1" applyFont="1" applyBorder="1" applyAlignment="1" applyProtection="1">
      <alignment horizontal="left" vertical="center" wrapText="1"/>
      <protection locked="0"/>
    </xf>
    <xf numFmtId="0" fontId="26" fillId="0" borderId="26" xfId="1" applyFont="1" applyFill="1" applyBorder="1" applyAlignment="1" applyProtection="1">
      <alignment horizontal="center" vertical="center" wrapText="1"/>
    </xf>
    <xf numFmtId="0" fontId="26" fillId="0" borderId="27" xfId="1" applyFont="1" applyFill="1" applyBorder="1" applyAlignment="1" applyProtection="1">
      <alignment horizontal="center" vertical="center" wrapText="1"/>
    </xf>
    <xf numFmtId="0" fontId="25" fillId="0" borderId="1" xfId="1" applyFont="1" applyFill="1" applyBorder="1" applyAlignment="1">
      <alignment horizontal="center" vertical="center" wrapText="1"/>
    </xf>
    <xf numFmtId="0" fontId="25" fillId="0" borderId="2" xfId="1" applyFont="1" applyFill="1" applyBorder="1" applyAlignment="1">
      <alignment horizontal="center" vertical="center" wrapText="1"/>
    </xf>
    <xf numFmtId="0" fontId="25" fillId="0" borderId="3" xfId="1" applyFont="1" applyFill="1" applyBorder="1" applyAlignment="1">
      <alignment horizontal="center" vertical="center" wrapText="1"/>
    </xf>
    <xf numFmtId="0" fontId="25" fillId="0" borderId="4" xfId="1" applyFont="1" applyFill="1" applyBorder="1" applyAlignment="1">
      <alignment horizontal="center" vertical="center" wrapText="1"/>
    </xf>
    <xf numFmtId="0" fontId="25" fillId="0" borderId="0" xfId="1" applyFont="1" applyFill="1" applyBorder="1" applyAlignment="1">
      <alignment horizontal="center" vertical="center" wrapText="1"/>
    </xf>
    <xf numFmtId="0" fontId="25" fillId="0" borderId="5" xfId="1" applyFont="1" applyFill="1" applyBorder="1" applyAlignment="1">
      <alignment horizontal="center" vertical="center" wrapText="1"/>
    </xf>
    <xf numFmtId="0" fontId="25" fillId="0" borderId="57" xfId="1" applyFont="1" applyFill="1" applyBorder="1" applyAlignment="1">
      <alignment horizontal="center" vertical="center" wrapText="1"/>
    </xf>
    <xf numFmtId="0" fontId="25" fillId="0" borderId="45" xfId="1" applyFont="1" applyFill="1" applyBorder="1" applyAlignment="1">
      <alignment horizontal="center" vertical="center" wrapText="1"/>
    </xf>
    <xf numFmtId="0" fontId="25" fillId="0" borderId="58" xfId="1" applyFont="1" applyFill="1" applyBorder="1" applyAlignment="1">
      <alignment horizontal="center" vertical="center" wrapText="1"/>
    </xf>
    <xf numFmtId="0" fontId="31" fillId="0" borderId="32" xfId="1" applyFont="1" applyBorder="1" applyAlignment="1">
      <alignment horizontal="right" vertical="center" wrapText="1"/>
    </xf>
    <xf numFmtId="0" fontId="31" fillId="0" borderId="13" xfId="1" applyFont="1" applyBorder="1" applyAlignment="1">
      <alignment horizontal="right" vertical="center" wrapText="1"/>
    </xf>
    <xf numFmtId="0" fontId="26" fillId="0" borderId="9" xfId="1" applyFont="1" applyFill="1" applyBorder="1" applyAlignment="1" applyProtection="1">
      <alignment horizontal="center" vertical="center" wrapText="1"/>
    </xf>
    <xf numFmtId="0" fontId="26" fillId="0" borderId="25" xfId="1" applyFont="1" applyFill="1" applyBorder="1" applyAlignment="1" applyProtection="1">
      <alignment horizontal="center" vertical="center" wrapText="1"/>
    </xf>
    <xf numFmtId="0" fontId="32" fillId="0" borderId="43" xfId="1" applyFont="1" applyBorder="1" applyAlignment="1">
      <alignment horizontal="center" vertical="center" wrapText="1"/>
    </xf>
    <xf numFmtId="0" fontId="32" fillId="0" borderId="49" xfId="1" applyFont="1" applyBorder="1" applyAlignment="1">
      <alignment horizontal="center" vertical="center" wrapText="1"/>
    </xf>
    <xf numFmtId="0" fontId="32" fillId="0" borderId="47" xfId="1" applyFont="1" applyBorder="1" applyAlignment="1">
      <alignment horizontal="center" vertical="center" wrapText="1"/>
    </xf>
    <xf numFmtId="0" fontId="32" fillId="0" borderId="50" xfId="1" applyFont="1" applyBorder="1" applyAlignment="1">
      <alignment horizontal="center" vertical="center" wrapText="1"/>
    </xf>
    <xf numFmtId="0" fontId="25" fillId="0" borderId="1" xfId="1" applyFont="1" applyFill="1" applyBorder="1" applyAlignment="1">
      <alignment horizontal="right" vertical="center" wrapText="1"/>
    </xf>
    <xf numFmtId="0" fontId="25" fillId="0" borderId="2" xfId="1" applyFont="1" applyFill="1" applyBorder="1" applyAlignment="1">
      <alignment horizontal="right" vertical="center" wrapText="1"/>
    </xf>
    <xf numFmtId="0" fontId="25" fillId="0" borderId="4" xfId="1" applyFont="1" applyFill="1" applyBorder="1" applyAlignment="1">
      <alignment horizontal="right" vertical="center" wrapText="1"/>
    </xf>
    <xf numFmtId="0" fontId="25" fillId="0" borderId="0" xfId="1" applyFont="1" applyFill="1" applyBorder="1" applyAlignment="1">
      <alignment horizontal="right" vertical="center" wrapText="1"/>
    </xf>
    <xf numFmtId="0" fontId="25" fillId="0" borderId="18" xfId="1" applyFont="1" applyFill="1" applyBorder="1" applyAlignment="1">
      <alignment horizontal="right" vertical="center" wrapText="1"/>
    </xf>
    <xf numFmtId="0" fontId="25" fillId="0" borderId="19" xfId="1" applyFont="1" applyFill="1" applyBorder="1" applyAlignment="1">
      <alignment horizontal="right" vertical="center" wrapText="1"/>
    </xf>
    <xf numFmtId="0" fontId="28" fillId="0" borderId="42" xfId="1" applyFont="1" applyBorder="1" applyAlignment="1">
      <alignment horizontal="center" vertical="center" wrapText="1"/>
    </xf>
    <xf numFmtId="0" fontId="28" fillId="0" borderId="48" xfId="1" applyFont="1" applyBorder="1" applyAlignment="1">
      <alignment horizontal="center" vertical="center" wrapText="1"/>
    </xf>
    <xf numFmtId="0" fontId="28" fillId="0" borderId="43" xfId="1" applyFont="1" applyBorder="1" applyAlignment="1">
      <alignment horizontal="center" vertical="center" wrapText="1"/>
    </xf>
    <xf numFmtId="0" fontId="28" fillId="0" borderId="49" xfId="1" applyFont="1" applyBorder="1" applyAlignment="1">
      <alignment horizontal="center" vertical="center" wrapText="1"/>
    </xf>
    <xf numFmtId="0" fontId="32" fillId="6" borderId="43" xfId="1" applyFont="1" applyFill="1" applyBorder="1" applyAlignment="1">
      <alignment horizontal="center" vertical="center" wrapText="1"/>
    </xf>
    <xf numFmtId="0" fontId="32" fillId="6" borderId="49" xfId="1" applyFont="1" applyFill="1" applyBorder="1" applyAlignment="1">
      <alignment horizontal="center" vertical="center" wrapText="1"/>
    </xf>
    <xf numFmtId="0" fontId="26" fillId="0" borderId="33" xfId="1" applyFont="1" applyBorder="1" applyAlignment="1" applyProtection="1">
      <alignment horizontal="center" vertical="center" wrapText="1"/>
      <protection locked="0"/>
    </xf>
    <xf numFmtId="0" fontId="26" fillId="0" borderId="4" xfId="1" applyFont="1" applyBorder="1" applyAlignment="1" applyProtection="1">
      <alignment horizontal="center" vertical="center" wrapText="1"/>
      <protection locked="0"/>
    </xf>
    <xf numFmtId="0" fontId="26" fillId="0" borderId="61" xfId="1" applyFont="1" applyBorder="1" applyAlignment="1" applyProtection="1">
      <alignment horizontal="center" vertical="center" wrapText="1"/>
      <protection locked="0"/>
    </xf>
    <xf numFmtId="0" fontId="26" fillId="0" borderId="57" xfId="1" applyFont="1" applyBorder="1" applyAlignment="1" applyProtection="1">
      <alignment horizontal="center" vertical="center" wrapText="1"/>
      <protection locked="0"/>
    </xf>
    <xf numFmtId="0" fontId="26" fillId="0" borderId="46" xfId="1" applyFont="1" applyBorder="1" applyAlignment="1" applyProtection="1">
      <alignment horizontal="center" vertical="center" wrapText="1"/>
      <protection locked="0"/>
    </xf>
    <xf numFmtId="0" fontId="26" fillId="0" borderId="52" xfId="1" applyFont="1" applyBorder="1" applyAlignment="1" applyProtection="1">
      <alignment horizontal="center" vertical="center" wrapText="1"/>
    </xf>
    <xf numFmtId="0" fontId="26" fillId="0" borderId="63" xfId="1" applyFont="1" applyBorder="1" applyAlignment="1" applyProtection="1">
      <alignment horizontal="center" vertical="center" wrapText="1"/>
    </xf>
    <xf numFmtId="0" fontId="26" fillId="0" borderId="55" xfId="1" applyFont="1" applyBorder="1" applyAlignment="1" applyProtection="1">
      <alignment horizontal="center" vertical="center" wrapText="1"/>
    </xf>
    <xf numFmtId="0" fontId="26" fillId="0" borderId="18" xfId="1" applyFont="1" applyBorder="1" applyAlignment="1" applyProtection="1">
      <alignment horizontal="center" vertical="center" wrapText="1"/>
      <protection locked="0"/>
    </xf>
    <xf numFmtId="0" fontId="26" fillId="0" borderId="36" xfId="1" applyFont="1" applyBorder="1" applyAlignment="1" applyProtection="1">
      <alignment horizontal="center" vertical="center" wrapText="1"/>
      <protection locked="0"/>
    </xf>
    <xf numFmtId="0" fontId="26" fillId="0" borderId="66" xfId="1" applyFont="1" applyBorder="1" applyAlignment="1" applyProtection="1">
      <alignment horizontal="center" vertical="center" wrapText="1"/>
    </xf>
    <xf numFmtId="0" fontId="26" fillId="0" borderId="25" xfId="1" applyFont="1" applyFill="1" applyBorder="1" applyAlignment="1">
      <alignment horizontal="center" vertical="center" wrapText="1"/>
    </xf>
    <xf numFmtId="0" fontId="26" fillId="0" borderId="27" xfId="1" applyFont="1" applyFill="1" applyBorder="1" applyAlignment="1">
      <alignment horizontal="center" vertical="center" wrapText="1"/>
    </xf>
    <xf numFmtId="0" fontId="26" fillId="0" borderId="31" xfId="1" applyFont="1" applyFill="1" applyBorder="1" applyAlignment="1">
      <alignment horizontal="center" vertical="center" wrapText="1"/>
    </xf>
    <xf numFmtId="0" fontId="28" fillId="0" borderId="6" xfId="1" applyFont="1" applyBorder="1" applyAlignment="1">
      <alignment horizontal="center" vertical="center" wrapText="1"/>
    </xf>
    <xf numFmtId="0" fontId="28" fillId="0" borderId="7" xfId="1" applyFont="1" applyBorder="1" applyAlignment="1">
      <alignment horizontal="center" vertical="center" wrapText="1"/>
    </xf>
    <xf numFmtId="0" fontId="32" fillId="0" borderId="56" xfId="1" applyFont="1" applyBorder="1" applyAlignment="1">
      <alignment horizontal="center" vertical="center" wrapText="1"/>
    </xf>
    <xf numFmtId="0" fontId="32" fillId="0" borderId="60" xfId="1" applyFont="1" applyBorder="1" applyAlignment="1">
      <alignment horizontal="center" vertical="center" wrapText="1"/>
    </xf>
    <xf numFmtId="0" fontId="32" fillId="0" borderId="54" xfId="1" applyFont="1" applyBorder="1" applyAlignment="1">
      <alignment horizontal="center" vertical="center" wrapText="1"/>
    </xf>
    <xf numFmtId="0" fontId="31" fillId="0" borderId="31" xfId="1" applyFont="1" applyBorder="1" applyAlignment="1">
      <alignment horizontal="right" vertical="center" wrapText="1"/>
    </xf>
    <xf numFmtId="0" fontId="31" fillId="0" borderId="30" xfId="1" applyFont="1" applyBorder="1" applyAlignment="1">
      <alignment horizontal="right" vertical="center" wrapText="1"/>
    </xf>
    <xf numFmtId="0" fontId="31" fillId="0" borderId="28" xfId="1" applyFont="1" applyBorder="1" applyAlignment="1">
      <alignment horizontal="right" vertical="center" wrapText="1"/>
    </xf>
    <xf numFmtId="0" fontId="31" fillId="0" borderId="33" xfId="1" applyFont="1" applyBorder="1" applyAlignment="1">
      <alignment horizontal="right" vertical="center" wrapText="1"/>
    </xf>
    <xf numFmtId="0" fontId="31" fillId="0" borderId="34" xfId="1" applyFont="1" applyBorder="1" applyAlignment="1">
      <alignment horizontal="right" vertical="center" wrapText="1"/>
    </xf>
    <xf numFmtId="0" fontId="31" fillId="0" borderId="4" xfId="1" applyFont="1" applyBorder="1" applyAlignment="1">
      <alignment horizontal="right" vertical="center" wrapText="1"/>
    </xf>
    <xf numFmtId="0" fontId="31" fillId="0" borderId="0" xfId="1" applyFont="1" applyBorder="1" applyAlignment="1">
      <alignment horizontal="right" vertical="center" wrapText="1"/>
    </xf>
    <xf numFmtId="0" fontId="31" fillId="0" borderId="57" xfId="1" applyFont="1" applyBorder="1" applyAlignment="1">
      <alignment horizontal="right" vertical="center" wrapText="1"/>
    </xf>
    <xf numFmtId="0" fontId="31" fillId="0" borderId="45" xfId="1" applyFont="1" applyBorder="1" applyAlignment="1">
      <alignment horizontal="right" vertical="center" wrapText="1"/>
    </xf>
    <xf numFmtId="0" fontId="32" fillId="0" borderId="51" xfId="1" applyFont="1" applyBorder="1" applyAlignment="1">
      <alignment horizontal="center" vertical="center" wrapText="1"/>
    </xf>
    <xf numFmtId="0" fontId="32" fillId="0" borderId="62" xfId="1" applyFont="1" applyBorder="1" applyAlignment="1">
      <alignment horizontal="center" vertical="center" wrapText="1"/>
    </xf>
    <xf numFmtId="0" fontId="32" fillId="0" borderId="53" xfId="1" applyFont="1" applyBorder="1" applyAlignment="1">
      <alignment horizontal="center" vertical="center" wrapText="1"/>
    </xf>
    <xf numFmtId="0" fontId="32" fillId="0" borderId="64" xfId="1" applyFont="1" applyBorder="1" applyAlignment="1">
      <alignment horizontal="center" vertical="center" wrapText="1"/>
    </xf>
    <xf numFmtId="0" fontId="32" fillId="0" borderId="65" xfId="1" applyFont="1" applyBorder="1" applyAlignment="1">
      <alignment horizontal="center" vertical="center" wrapText="1"/>
    </xf>
    <xf numFmtId="0" fontId="21" fillId="0" borderId="12" xfId="1" applyFont="1" applyBorder="1" applyAlignment="1" applyProtection="1">
      <alignment horizontal="left" vertical="center" wrapText="1"/>
      <protection locked="0"/>
    </xf>
    <xf numFmtId="0" fontId="21" fillId="0" borderId="13" xfId="1" applyFont="1" applyBorder="1" applyAlignment="1" applyProtection="1">
      <alignment horizontal="left" vertical="center" wrapText="1"/>
      <protection locked="0"/>
    </xf>
    <xf numFmtId="0" fontId="21" fillId="0" borderId="14" xfId="1" applyFont="1" applyBorder="1" applyAlignment="1" applyProtection="1">
      <alignment horizontal="left" vertical="center" wrapText="1"/>
      <protection locked="0"/>
    </xf>
    <xf numFmtId="0" fontId="22" fillId="0" borderId="59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 wrapText="1"/>
    </xf>
    <xf numFmtId="0" fontId="22" fillId="0" borderId="38" xfId="1" applyFont="1" applyFill="1" applyBorder="1" applyAlignment="1">
      <alignment horizontal="center" vertical="center" wrapText="1"/>
    </xf>
    <xf numFmtId="0" fontId="22" fillId="0" borderId="19" xfId="1" applyFont="1" applyFill="1" applyBorder="1" applyAlignment="1">
      <alignment horizontal="center" vertical="center" wrapText="1"/>
    </xf>
    <xf numFmtId="0" fontId="24" fillId="0" borderId="0" xfId="1" applyFont="1" applyBorder="1" applyAlignment="1" applyProtection="1">
      <alignment horizontal="center" vertical="center"/>
      <protection locked="0"/>
    </xf>
    <xf numFmtId="0" fontId="24" fillId="0" borderId="61" xfId="1" applyFont="1" applyBorder="1" applyAlignment="1" applyProtection="1">
      <alignment horizontal="center" vertical="center"/>
      <protection locked="0"/>
    </xf>
    <xf numFmtId="0" fontId="24" fillId="0" borderId="19" xfId="1" applyFont="1" applyBorder="1" applyAlignment="1" applyProtection="1">
      <alignment horizontal="center" vertical="center"/>
      <protection locked="0"/>
    </xf>
    <xf numFmtId="0" fontId="24" fillId="0" borderId="36" xfId="1" applyFont="1" applyBorder="1" applyAlignment="1" applyProtection="1">
      <alignment horizontal="center" vertical="center"/>
      <protection locked="0"/>
    </xf>
    <xf numFmtId="0" fontId="22" fillId="0" borderId="51" xfId="1" applyFont="1" applyBorder="1" applyAlignment="1">
      <alignment horizontal="center" vertical="center" wrapText="1"/>
    </xf>
    <xf numFmtId="0" fontId="26" fillId="0" borderId="6" xfId="1" applyFont="1" applyBorder="1" applyAlignment="1" applyProtection="1">
      <alignment horizontal="center" vertical="center" wrapText="1"/>
      <protection locked="0"/>
    </xf>
    <xf numFmtId="0" fontId="9" fillId="0" borderId="24" xfId="1" applyFont="1" applyBorder="1" applyAlignment="1">
      <alignment horizontal="center" vertical="center" wrapText="1"/>
    </xf>
    <xf numFmtId="0" fontId="25" fillId="0" borderId="33" xfId="1" applyFont="1" applyBorder="1" applyAlignment="1">
      <alignment horizontal="center" vertical="center" wrapText="1"/>
    </xf>
    <xf numFmtId="0" fontId="26" fillId="0" borderId="53" xfId="1" applyFont="1" applyBorder="1" applyAlignment="1" applyProtection="1">
      <alignment horizontal="center" vertical="center" wrapText="1"/>
      <protection locked="0"/>
    </xf>
    <xf numFmtId="0" fontId="26" fillId="0" borderId="54" xfId="1" applyFont="1" applyBorder="1" applyAlignment="1" applyProtection="1">
      <alignment horizontal="center" vertical="center" wrapText="1"/>
      <protection locked="0"/>
    </xf>
    <xf numFmtId="0" fontId="32" fillId="6" borderId="56" xfId="1" applyFont="1" applyFill="1" applyBorder="1" applyAlignment="1">
      <alignment horizontal="center" vertical="center" wrapText="1"/>
    </xf>
    <xf numFmtId="0" fontId="32" fillId="6" borderId="60" xfId="1" applyFont="1" applyFill="1" applyBorder="1" applyAlignment="1">
      <alignment horizontal="center" vertical="center" wrapText="1"/>
    </xf>
    <xf numFmtId="0" fontId="32" fillId="6" borderId="54" xfId="1" applyFont="1" applyFill="1" applyBorder="1" applyAlignment="1">
      <alignment horizontal="center" vertical="center" wrapText="1"/>
    </xf>
    <xf numFmtId="0" fontId="32" fillId="0" borderId="52" xfId="1" applyFont="1" applyBorder="1" applyAlignment="1">
      <alignment horizontal="center" vertical="center" wrapText="1"/>
    </xf>
    <xf numFmtId="0" fontId="32" fillId="0" borderId="63" xfId="1" applyFont="1" applyBorder="1" applyAlignment="1">
      <alignment horizontal="center" vertical="center" wrapText="1"/>
    </xf>
    <xf numFmtId="0" fontId="32" fillId="0" borderId="55" xfId="1" applyFont="1" applyBorder="1" applyAlignment="1">
      <alignment horizontal="center" vertical="center" wrapText="1"/>
    </xf>
    <xf numFmtId="0" fontId="32" fillId="6" borderId="65" xfId="1" applyFont="1" applyFill="1" applyBorder="1" applyAlignment="1">
      <alignment horizontal="center" vertical="center" wrapText="1"/>
    </xf>
    <xf numFmtId="0" fontId="32" fillId="0" borderId="66" xfId="1" applyFont="1" applyBorder="1" applyAlignment="1">
      <alignment horizontal="center" vertical="center" wrapText="1"/>
    </xf>
    <xf numFmtId="0" fontId="4" fillId="0" borderId="19" xfId="1" applyBorder="1" applyAlignment="1">
      <alignment horizontal="center"/>
    </xf>
    <xf numFmtId="0" fontId="32" fillId="6" borderId="7" xfId="1" applyFont="1" applyFill="1" applyBorder="1" applyAlignment="1">
      <alignment horizontal="center" vertical="center" wrapText="1"/>
    </xf>
    <xf numFmtId="0" fontId="32" fillId="0" borderId="7" xfId="1" applyFont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39" fillId="0" borderId="0" xfId="1" applyFont="1" applyBorder="1" applyAlignment="1" applyProtection="1">
      <alignment horizontal="left" vertical="center" wrapText="1"/>
      <protection locked="0"/>
    </xf>
    <xf numFmtId="0" fontId="24" fillId="0" borderId="59" xfId="1" applyFont="1" applyBorder="1" applyAlignment="1" applyProtection="1">
      <alignment horizontal="center" vertical="center"/>
      <protection locked="0"/>
    </xf>
    <xf numFmtId="0" fontId="24" fillId="0" borderId="38" xfId="1" applyFont="1" applyBorder="1" applyAlignment="1" applyProtection="1">
      <alignment horizontal="center" vertical="center"/>
      <protection locked="0"/>
    </xf>
    <xf numFmtId="0" fontId="26" fillId="0" borderId="0" xfId="1" applyFont="1" applyBorder="1" applyAlignment="1" applyProtection="1">
      <alignment horizontal="left" vertical="top"/>
      <protection locked="0"/>
    </xf>
    <xf numFmtId="0" fontId="22" fillId="0" borderId="0" xfId="0" applyFont="1" applyAlignment="1">
      <alignment horizontal="center" vertical="center"/>
    </xf>
    <xf numFmtId="0" fontId="39" fillId="0" borderId="0" xfId="1" applyFont="1" applyBorder="1" applyAlignment="1" applyProtection="1">
      <alignment horizontal="left" vertical="center" wrapText="1"/>
    </xf>
    <xf numFmtId="0" fontId="39" fillId="0" borderId="0" xfId="1" applyFont="1" applyBorder="1" applyAlignment="1" applyProtection="1">
      <alignment horizontal="right" vertical="center" wrapText="1"/>
      <protection locked="0"/>
    </xf>
    <xf numFmtId="0" fontId="38" fillId="0" borderId="0" xfId="0" applyFont="1" applyAlignment="1">
      <alignment horizontal="left" vertical="center"/>
    </xf>
    <xf numFmtId="0" fontId="26" fillId="0" borderId="0" xfId="1" applyFont="1" applyBorder="1" applyAlignment="1" applyProtection="1">
      <alignment horizontal="left"/>
      <protection locked="0"/>
    </xf>
    <xf numFmtId="0" fontId="22" fillId="0" borderId="21" xfId="1" applyFont="1" applyBorder="1" applyAlignment="1">
      <alignment horizontal="center" vertical="center" wrapText="1"/>
    </xf>
    <xf numFmtId="0" fontId="21" fillId="0" borderId="22" xfId="1" applyFont="1" applyBorder="1" applyAlignment="1">
      <alignment horizontal="center" vertical="center" wrapText="1"/>
    </xf>
    <xf numFmtId="0" fontId="21" fillId="0" borderId="23" xfId="1" applyFont="1" applyBorder="1" applyAlignment="1">
      <alignment horizontal="center" vertical="center" wrapText="1"/>
    </xf>
    <xf numFmtId="0" fontId="26" fillId="0" borderId="7" xfId="1" applyFont="1" applyBorder="1" applyAlignment="1" applyProtection="1">
      <alignment horizontal="left" vertical="center" wrapText="1"/>
      <protection locked="0"/>
    </xf>
    <xf numFmtId="0" fontId="26" fillId="0" borderId="8" xfId="1" applyFont="1" applyBorder="1" applyAlignment="1" applyProtection="1">
      <alignment horizontal="left" vertical="center" wrapText="1"/>
      <protection locked="0"/>
    </xf>
    <xf numFmtId="0" fontId="39" fillId="0" borderId="0" xfId="1" applyFont="1" applyBorder="1" applyAlignment="1" applyProtection="1">
      <alignment horizontal="center" vertical="center" wrapText="1"/>
      <protection locked="0"/>
    </xf>
    <xf numFmtId="0" fontId="39" fillId="0" borderId="0" xfId="1" applyFont="1" applyBorder="1" applyAlignment="1" applyProtection="1">
      <alignment horizontal="right" vertical="center"/>
      <protection locked="0"/>
    </xf>
    <xf numFmtId="0" fontId="40" fillId="0" borderId="2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ální 2" xfId="1"/>
  </cellStyles>
  <dxfs count="1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66FF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3655218</xdr:colOff>
      <xdr:row>0</xdr:row>
      <xdr:rowOff>45428</xdr:rowOff>
    </xdr:from>
    <xdr:to>
      <xdr:col>18</xdr:col>
      <xdr:colOff>102578</xdr:colOff>
      <xdr:row>0</xdr:row>
      <xdr:rowOff>571683</xdr:rowOff>
    </xdr:to>
    <xdr:grpSp>
      <xdr:nvGrpSpPr>
        <xdr:cNvPr id="4" name="Skupina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655218" y="45428"/>
          <a:ext cx="6639110" cy="526255"/>
          <a:chOff x="3655218" y="64478"/>
          <a:chExt cx="6601838" cy="526255"/>
        </a:xfrm>
      </xdr:grpSpPr>
      <xdr:sp macro="" textlink="">
        <xdr:nvSpPr>
          <xdr:cNvPr id="3" name="Zkosené hrany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655218" y="65942"/>
            <a:ext cx="4282388" cy="524791"/>
          </a:xfrm>
          <a:prstGeom prst="bevel">
            <a:avLst/>
          </a:prstGeom>
          <a:solidFill>
            <a:schemeClr val="accent1"/>
          </a:soli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9" name="Zkosené hrany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003549" y="64478"/>
            <a:ext cx="2253507" cy="524791"/>
          </a:xfrm>
          <a:prstGeom prst="bevel">
            <a:avLst/>
          </a:prstGeom>
          <a:solidFill>
            <a:srgbClr val="FF0000"/>
          </a:soli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2" name="novy_nadpis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=""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3744572" y="153101"/>
                <a:ext cx="1211966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4" name="smaz_format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="" xmlns:a16="http://schemas.microsoft.com/office/drawing/2014/main" id="{00000000-0008-0000-0000-000032040000}"/>
                  </a:ext>
                </a:extLst>
              </xdr:cNvPr>
              <xdr:cNvSpPr/>
            </xdr:nvSpPr>
            <xdr:spPr bwMode="auto">
              <a:xfrm>
                <a:off x="8082218" y="146447"/>
                <a:ext cx="2099642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" name="Vloz_pole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="" xmlns:a16="http://schemas.microsoft.com/office/drawing/2014/main" id="{00000000-0008-0000-0000-000033040000}"/>
                  </a:ext>
                </a:extLst>
              </xdr:cNvPr>
              <xdr:cNvSpPr/>
            </xdr:nvSpPr>
            <xdr:spPr bwMode="auto">
              <a:xfrm>
                <a:off x="5007740" y="147147"/>
                <a:ext cx="1415133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6" name="vloz_stranku_tl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="" xmlns:a16="http://schemas.microsoft.com/office/drawing/2014/main" id="{00000000-0008-0000-0000-000034040000}"/>
                  </a:ext>
                </a:extLst>
              </xdr:cNvPr>
              <xdr:cNvSpPr/>
            </xdr:nvSpPr>
            <xdr:spPr bwMode="auto">
              <a:xfrm>
                <a:off x="6459512" y="146518"/>
                <a:ext cx="1405925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20</xdr:col>
      <xdr:colOff>8284</xdr:colOff>
      <xdr:row>0</xdr:row>
      <xdr:rowOff>0</xdr:rowOff>
    </xdr:from>
    <xdr:to>
      <xdr:col>22</xdr:col>
      <xdr:colOff>8283</xdr:colOff>
      <xdr:row>0</xdr:row>
      <xdr:rowOff>627529</xdr:rowOff>
    </xdr:to>
    <xdr:sp macro="" textlink="">
      <xdr:nvSpPr>
        <xdr:cNvPr id="2" name="Obdélník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10609049" y="0"/>
          <a:ext cx="347381" cy="627529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s-CZ" sz="1100"/>
        </a:p>
      </xdr:txBody>
    </xdr:sp>
    <xdr:clientData/>
  </xdr:twoCellAnchor>
  <xdr:twoCellAnchor>
    <xdr:from>
      <xdr:col>20</xdr:col>
      <xdr:colOff>32298</xdr:colOff>
      <xdr:row>0</xdr:row>
      <xdr:rowOff>22408</xdr:rowOff>
    </xdr:from>
    <xdr:to>
      <xdr:col>20</xdr:col>
      <xdr:colOff>212298</xdr:colOff>
      <xdr:row>99</xdr:row>
      <xdr:rowOff>0</xdr:rowOff>
    </xdr:to>
    <xdr:sp macro="" textlink="">
      <xdr:nvSpPr>
        <xdr:cNvPr id="7" name="Obdélník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>
          <a:spLocks/>
        </xdr:cNvSpPr>
      </xdr:nvSpPr>
      <xdr:spPr>
        <a:xfrm>
          <a:off x="10633063" y="22408"/>
          <a:ext cx="180000" cy="71426075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s-CZ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0</xdr:row>
          <xdr:rowOff>0</xdr:rowOff>
        </xdr:from>
        <xdr:to>
          <xdr:col>23</xdr:col>
          <xdr:colOff>1714500</xdr:colOff>
          <xdr:row>0</xdr:row>
          <xdr:rowOff>619125</xdr:rowOff>
        </xdr:to>
        <xdr:sp macro="" textlink="">
          <xdr:nvSpPr>
            <xdr:cNvPr id="1079" name="SPCKarta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=""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0</xdr:row>
          <xdr:rowOff>95250</xdr:rowOff>
        </xdr:from>
        <xdr:to>
          <xdr:col>0</xdr:col>
          <xdr:colOff>2333625</xdr:colOff>
          <xdr:row>0</xdr:row>
          <xdr:rowOff>542925</xdr:rowOff>
        </xdr:to>
        <xdr:sp macro="" textlink="">
          <xdr:nvSpPr>
            <xdr:cNvPr id="1080" name="ATRTlacitk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=""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0</xdr:row>
          <xdr:rowOff>95250</xdr:rowOff>
        </xdr:from>
        <xdr:to>
          <xdr:col>0</xdr:col>
          <xdr:colOff>1695450</xdr:colOff>
          <xdr:row>0</xdr:row>
          <xdr:rowOff>542925</xdr:rowOff>
        </xdr:to>
        <xdr:sp macro="" textlink="">
          <xdr:nvSpPr>
            <xdr:cNvPr id="1082" name="generujPDF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95250</xdr:rowOff>
        </xdr:from>
        <xdr:to>
          <xdr:col>0</xdr:col>
          <xdr:colOff>3600450</xdr:colOff>
          <xdr:row>0</xdr:row>
          <xdr:rowOff>542925</xdr:rowOff>
        </xdr:to>
        <xdr:sp macro="" textlink="">
          <xdr:nvSpPr>
            <xdr:cNvPr id="1083" name="VKZTlacitk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2419350</xdr:colOff>
          <xdr:row>0</xdr:row>
          <xdr:rowOff>95250</xdr:rowOff>
        </xdr:from>
        <xdr:to>
          <xdr:col>0</xdr:col>
          <xdr:colOff>2971800</xdr:colOff>
          <xdr:row>0</xdr:row>
          <xdr:rowOff>542925</xdr:rowOff>
        </xdr:to>
        <xdr:sp macro="" textlink="">
          <xdr:nvSpPr>
            <xdr:cNvPr id="1084" name="AuditTlacitko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262218</xdr:colOff>
      <xdr:row>7</xdr:row>
      <xdr:rowOff>202825</xdr:rowOff>
    </xdr:from>
    <xdr:to>
      <xdr:col>30</xdr:col>
      <xdr:colOff>188819</xdr:colOff>
      <xdr:row>8</xdr:row>
      <xdr:rowOff>268380</xdr:rowOff>
    </xdr:to>
    <xdr:sp macro="" textlink="">
      <xdr:nvSpPr>
        <xdr:cNvPr id="2" name="WordArt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11958918" y="2326900"/>
          <a:ext cx="2126876" cy="417980"/>
        </a:xfrm>
        <a:prstGeom prst="rect">
          <a:avLst/>
        </a:prstGeom>
        <a:noFill/>
      </xdr:spPr>
      <xdr:txBody>
        <a:bodyPr wrap="square" numCol="1" fromWordArt="1">
          <a:prstTxWarp prst="textSlantUp">
            <a:avLst>
              <a:gd name="adj" fmla="val 55556"/>
            </a:avLst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n-US" sz="900" b="1">
              <a:ln w="9525" cap="flat" cmpd="sng" algn="ctr">
                <a:solidFill>
                  <a:srgbClr val="000000"/>
                </a:solidFill>
                <a:prstDash val="solid"/>
                <a:round/>
              </a:ln>
              <a:solidFill>
                <a:srgbClr val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dát vytisknout novou kartu</a:t>
          </a:r>
          <a:endParaRPr lang="cs-CZ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1</xdr:row>
          <xdr:rowOff>38100</xdr:rowOff>
        </xdr:from>
        <xdr:to>
          <xdr:col>20</xdr:col>
          <xdr:colOff>190500</xdr:colOff>
          <xdr:row>2</xdr:row>
          <xdr:rowOff>47625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</xdr:row>
          <xdr:rowOff>28575</xdr:rowOff>
        </xdr:from>
        <xdr:to>
          <xdr:col>24</xdr:col>
          <xdr:colOff>47625</xdr:colOff>
          <xdr:row>2</xdr:row>
          <xdr:rowOff>38100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0</xdr:row>
          <xdr:rowOff>66675</xdr:rowOff>
        </xdr:from>
        <xdr:to>
          <xdr:col>36</xdr:col>
          <xdr:colOff>838200</xdr:colOff>
          <xdr:row>2</xdr:row>
          <xdr:rowOff>123825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152400</xdr:colOff>
          <xdr:row>0</xdr:row>
          <xdr:rowOff>95250</xdr:rowOff>
        </xdr:from>
        <xdr:to>
          <xdr:col>42</xdr:col>
          <xdr:colOff>447675</xdr:colOff>
          <xdr:row>3</xdr:row>
          <xdr:rowOff>314325</xdr:rowOff>
        </xdr:to>
        <xdr:sp macro="" textlink="">
          <xdr:nvSpPr>
            <xdr:cNvPr id="2053" name="OtevriMenu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533400</xdr:colOff>
          <xdr:row>0</xdr:row>
          <xdr:rowOff>85725</xdr:rowOff>
        </xdr:from>
        <xdr:to>
          <xdr:col>47</xdr:col>
          <xdr:colOff>219075</xdr:colOff>
          <xdr:row>3</xdr:row>
          <xdr:rowOff>304800</xdr:rowOff>
        </xdr:to>
        <xdr:sp macro="" textlink="">
          <xdr:nvSpPr>
            <xdr:cNvPr id="2055" name="vytvorATR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262218</xdr:colOff>
      <xdr:row>7</xdr:row>
      <xdr:rowOff>202825</xdr:rowOff>
    </xdr:from>
    <xdr:to>
      <xdr:col>30</xdr:col>
      <xdr:colOff>188819</xdr:colOff>
      <xdr:row>8</xdr:row>
      <xdr:rowOff>268380</xdr:rowOff>
    </xdr:to>
    <xdr:sp macro="" textlink="">
      <xdr:nvSpPr>
        <xdr:cNvPr id="2" name="WordArt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12197043" y="2326900"/>
          <a:ext cx="2126876" cy="513230"/>
        </a:xfrm>
        <a:prstGeom prst="rect">
          <a:avLst/>
        </a:prstGeom>
        <a:noFill/>
      </xdr:spPr>
      <xdr:txBody>
        <a:bodyPr wrap="square" numCol="1" fromWordArt="1">
          <a:prstTxWarp prst="textSlantUp">
            <a:avLst>
              <a:gd name="adj" fmla="val 55556"/>
            </a:avLst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n-US" sz="900" b="1">
              <a:ln w="9525" cap="flat" cmpd="sng" algn="ctr">
                <a:solidFill>
                  <a:srgbClr val="000000"/>
                </a:solidFill>
                <a:prstDash val="solid"/>
                <a:round/>
              </a:ln>
              <a:solidFill>
                <a:srgbClr val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dát vytisknout novou kartu</a:t>
          </a:r>
          <a:endParaRPr lang="cs-CZ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1</xdr:row>
          <xdr:rowOff>38100</xdr:rowOff>
        </xdr:from>
        <xdr:to>
          <xdr:col>20</xdr:col>
          <xdr:colOff>190500</xdr:colOff>
          <xdr:row>2</xdr:row>
          <xdr:rowOff>47625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</xdr:row>
          <xdr:rowOff>28575</xdr:rowOff>
        </xdr:from>
        <xdr:to>
          <xdr:col>24</xdr:col>
          <xdr:colOff>47625</xdr:colOff>
          <xdr:row>2</xdr:row>
          <xdr:rowOff>38100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0</xdr:row>
          <xdr:rowOff>66675</xdr:rowOff>
        </xdr:from>
        <xdr:to>
          <xdr:col>36</xdr:col>
          <xdr:colOff>828675</xdr:colOff>
          <xdr:row>2</xdr:row>
          <xdr:rowOff>123825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152400</xdr:colOff>
          <xdr:row>0</xdr:row>
          <xdr:rowOff>95250</xdr:rowOff>
        </xdr:from>
        <xdr:to>
          <xdr:col>42</xdr:col>
          <xdr:colOff>447675</xdr:colOff>
          <xdr:row>3</xdr:row>
          <xdr:rowOff>314325</xdr:rowOff>
        </xdr:to>
        <xdr:sp macro="" textlink="">
          <xdr:nvSpPr>
            <xdr:cNvPr id="4100" name="OtevriMenu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533400</xdr:colOff>
          <xdr:row>0</xdr:row>
          <xdr:rowOff>85725</xdr:rowOff>
        </xdr:from>
        <xdr:to>
          <xdr:col>47</xdr:col>
          <xdr:colOff>219075</xdr:colOff>
          <xdr:row>3</xdr:row>
          <xdr:rowOff>304800</xdr:rowOff>
        </xdr:to>
        <xdr:sp macro="" textlink="">
          <xdr:nvSpPr>
            <xdr:cNvPr id="4101" name="vytvorATR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262218</xdr:colOff>
      <xdr:row>85</xdr:row>
      <xdr:rowOff>202825</xdr:rowOff>
    </xdr:from>
    <xdr:to>
      <xdr:col>30</xdr:col>
      <xdr:colOff>188819</xdr:colOff>
      <xdr:row>86</xdr:row>
      <xdr:rowOff>268380</xdr:rowOff>
    </xdr:to>
    <xdr:sp macro="" textlink="">
      <xdr:nvSpPr>
        <xdr:cNvPr id="8" name="WordArt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12142491" y="2315643"/>
          <a:ext cx="2108692" cy="515828"/>
        </a:xfrm>
        <a:prstGeom prst="rect">
          <a:avLst/>
        </a:prstGeom>
        <a:noFill/>
      </xdr:spPr>
      <xdr:txBody>
        <a:bodyPr wrap="square" numCol="1" fromWordArt="1">
          <a:prstTxWarp prst="textSlantUp">
            <a:avLst>
              <a:gd name="adj" fmla="val 55556"/>
            </a:avLst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n-US" sz="900" b="1">
              <a:ln w="9525" cap="flat" cmpd="sng" algn="ctr">
                <a:solidFill>
                  <a:srgbClr val="000000"/>
                </a:solidFill>
                <a:prstDash val="solid"/>
                <a:round/>
              </a:ln>
              <a:solidFill>
                <a:srgbClr val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dát vytisknout novou kartu</a:t>
          </a:r>
          <a:endParaRPr lang="cs-CZ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79</xdr:row>
          <xdr:rowOff>38100</xdr:rowOff>
        </xdr:from>
        <xdr:to>
          <xdr:col>20</xdr:col>
          <xdr:colOff>190500</xdr:colOff>
          <xdr:row>80</xdr:row>
          <xdr:rowOff>47625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79</xdr:row>
          <xdr:rowOff>28575</xdr:rowOff>
        </xdr:from>
        <xdr:to>
          <xdr:col>24</xdr:col>
          <xdr:colOff>47625</xdr:colOff>
          <xdr:row>80</xdr:row>
          <xdr:rowOff>38100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78</xdr:row>
          <xdr:rowOff>66675</xdr:rowOff>
        </xdr:from>
        <xdr:to>
          <xdr:col>36</xdr:col>
          <xdr:colOff>828675</xdr:colOff>
          <xdr:row>80</xdr:row>
          <xdr:rowOff>123825</xdr:rowOff>
        </xdr:to>
        <xdr:sp macro="" textlink="">
          <xdr:nvSpPr>
            <xdr:cNvPr id="4105" name="Object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262218</xdr:colOff>
      <xdr:row>7</xdr:row>
      <xdr:rowOff>202825</xdr:rowOff>
    </xdr:from>
    <xdr:to>
      <xdr:col>30</xdr:col>
      <xdr:colOff>188819</xdr:colOff>
      <xdr:row>8</xdr:row>
      <xdr:rowOff>268380</xdr:rowOff>
    </xdr:to>
    <xdr:sp macro="" textlink="">
      <xdr:nvSpPr>
        <xdr:cNvPr id="2" name="WordArt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12142491" y="2315643"/>
          <a:ext cx="2108692" cy="515828"/>
        </a:xfrm>
        <a:prstGeom prst="rect">
          <a:avLst/>
        </a:prstGeom>
        <a:noFill/>
      </xdr:spPr>
      <xdr:txBody>
        <a:bodyPr wrap="square" numCol="1" fromWordArt="1">
          <a:prstTxWarp prst="textSlantUp">
            <a:avLst>
              <a:gd name="adj" fmla="val 55556"/>
            </a:avLst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n-US" sz="900" b="1">
              <a:ln w="9525" cap="flat" cmpd="sng" algn="ctr">
                <a:solidFill>
                  <a:srgbClr val="000000"/>
                </a:solidFill>
                <a:prstDash val="solid"/>
                <a:round/>
              </a:ln>
              <a:solidFill>
                <a:srgbClr val="000000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dát vytisknout novou kartu</a:t>
          </a:r>
          <a:endParaRPr lang="cs-CZ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1</xdr:row>
          <xdr:rowOff>38100</xdr:rowOff>
        </xdr:from>
        <xdr:to>
          <xdr:col>20</xdr:col>
          <xdr:colOff>190500</xdr:colOff>
          <xdr:row>2</xdr:row>
          <xdr:rowOff>57150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</xdr:row>
          <xdr:rowOff>28575</xdr:rowOff>
        </xdr:from>
        <xdr:to>
          <xdr:col>24</xdr:col>
          <xdr:colOff>57150</xdr:colOff>
          <xdr:row>2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0</xdr:row>
          <xdr:rowOff>66675</xdr:rowOff>
        </xdr:from>
        <xdr:to>
          <xdr:col>36</xdr:col>
          <xdr:colOff>847725</xdr:colOff>
          <xdr:row>2</xdr:row>
          <xdr:rowOff>123825</xdr:rowOff>
        </xdr:to>
        <xdr:sp macro="" textlink="">
          <xdr:nvSpPr>
            <xdr:cNvPr id="3075" name="Object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152400</xdr:colOff>
          <xdr:row>0</xdr:row>
          <xdr:rowOff>95250</xdr:rowOff>
        </xdr:from>
        <xdr:to>
          <xdr:col>41</xdr:col>
          <xdr:colOff>171450</xdr:colOff>
          <xdr:row>3</xdr:row>
          <xdr:rowOff>76200</xdr:rowOff>
        </xdr:to>
        <xdr:sp macro="" textlink="">
          <xdr:nvSpPr>
            <xdr:cNvPr id="3076" name="OtevriMenu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171450</xdr:colOff>
          <xdr:row>3</xdr:row>
          <xdr:rowOff>466725</xdr:rowOff>
        </xdr:from>
        <xdr:to>
          <xdr:col>47</xdr:col>
          <xdr:colOff>333375</xdr:colOff>
          <xdr:row>8</xdr:row>
          <xdr:rowOff>390525</xdr:rowOff>
        </xdr:to>
        <xdr:sp macro="" textlink="">
          <xdr:nvSpPr>
            <xdr:cNvPr id="3078" name="vytvorVKZ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12.xml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11" Type="http://schemas.openxmlformats.org/officeDocument/2006/relationships/ctrlProp" Target="../ctrlProps/ctrlProp3.xml"/><Relationship Id="rId5" Type="http://schemas.openxmlformats.org/officeDocument/2006/relationships/image" Target="../media/image11.emf"/><Relationship Id="rId10" Type="http://schemas.openxmlformats.org/officeDocument/2006/relationships/image" Target="../media/image15.emf"/><Relationship Id="rId4" Type="http://schemas.openxmlformats.org/officeDocument/2006/relationships/oleObject" Target="../embeddings/oleObject2.bin"/><Relationship Id="rId9" Type="http://schemas.openxmlformats.org/officeDocument/2006/relationships/control" Target="../activeX/activeX13.xml"/><Relationship Id="rId1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7.xml"/><Relationship Id="rId4" Type="http://schemas.openxmlformats.org/officeDocument/2006/relationships/oleObject" Target="../embeddings/oleObject4.bin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AH99"/>
  <sheetViews>
    <sheetView tabSelected="1" view="pageBreakPreview" zoomScaleNormal="100" zoomScaleSheetLayoutView="100" workbookViewId="0">
      <pane ySplit="1" topLeftCell="A2" activePane="bottomLeft" state="frozen"/>
      <selection pane="bottomLeft" activeCell="H23" sqref="H23:P23"/>
    </sheetView>
  </sheetViews>
  <sheetFormatPr defaultColWidth="9.140625" defaultRowHeight="15" x14ac:dyDescent="0.25"/>
  <cols>
    <col min="1" max="1" width="55.140625" style="1" customWidth="1"/>
    <col min="2" max="2" width="1.7109375" style="1" customWidth="1"/>
    <col min="3" max="15" width="6" style="1" customWidth="1"/>
    <col min="16" max="16" width="6" style="139" customWidth="1"/>
    <col min="17" max="18" width="6" style="1" customWidth="1"/>
    <col min="19" max="19" width="1.7109375" style="1" customWidth="1"/>
    <col min="20" max="20" width="3.7109375" style="1" customWidth="1"/>
    <col min="21" max="21" width="3.42578125" style="48" hidden="1" customWidth="1"/>
    <col min="22" max="22" width="5.28515625" style="1" customWidth="1"/>
    <col min="23" max="23" width="5.140625" style="13" hidden="1" customWidth="1"/>
    <col min="24" max="24" width="27.28515625" style="42" customWidth="1"/>
    <col min="25" max="25" width="103.28515625" style="1" customWidth="1"/>
    <col min="26" max="16384" width="9.140625" style="1"/>
  </cols>
  <sheetData>
    <row r="1" spans="1:25" ht="50.25" customHeight="1" thickBot="1" x14ac:dyDescent="0.3">
      <c r="A1" s="178" t="s">
        <v>139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V1" s="43">
        <f>MAX(C51:C656)</f>
        <v>1</v>
      </c>
      <c r="X1"/>
      <c r="Y1" s="175"/>
    </row>
    <row r="2" spans="1:25" ht="15" customHeight="1" x14ac:dyDescent="0.25">
      <c r="B2" s="210" t="s">
        <v>141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>
        <f>IF(SUM(U:U)&gt;0,"D",)</f>
        <v>0</v>
      </c>
      <c r="S2" s="288"/>
      <c r="T2" s="10"/>
      <c r="U2" s="30">
        <f>SUM(U3:U656)</f>
        <v>0</v>
      </c>
    </row>
    <row r="3" spans="1:25" ht="15.75" customHeight="1" thickBot="1" x14ac:dyDescent="0.4">
      <c r="B3" s="212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89"/>
      <c r="T3" s="10"/>
      <c r="X3" s="44" t="s">
        <v>6</v>
      </c>
    </row>
    <row r="4" spans="1:25" x14ac:dyDescent="0.25">
      <c r="A4" s="214"/>
      <c r="B4" s="36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140"/>
      <c r="Q4" s="37"/>
      <c r="R4" s="37"/>
      <c r="S4" s="38"/>
      <c r="T4" s="227"/>
      <c r="V4" s="15" t="s">
        <v>70</v>
      </c>
      <c r="X4" s="272" t="s">
        <v>17</v>
      </c>
      <c r="Y4" s="272"/>
    </row>
    <row r="5" spans="1:25" ht="30" customHeight="1" thickBot="1" x14ac:dyDescent="0.3">
      <c r="A5" s="214"/>
      <c r="B5" s="39"/>
      <c r="C5" s="290" t="s">
        <v>10</v>
      </c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32"/>
      <c r="T5" s="227"/>
      <c r="V5" s="15" t="s">
        <v>71</v>
      </c>
      <c r="X5" s="226" t="s">
        <v>9</v>
      </c>
      <c r="Y5" s="226"/>
    </row>
    <row r="6" spans="1:25" ht="30.75" customHeight="1" thickBot="1" x14ac:dyDescent="0.3">
      <c r="A6" s="214"/>
      <c r="B6" s="39"/>
      <c r="C6" s="291" t="s">
        <v>2</v>
      </c>
      <c r="D6" s="292"/>
      <c r="E6" s="293" t="s">
        <v>3</v>
      </c>
      <c r="F6" s="292"/>
      <c r="G6" s="292"/>
      <c r="H6" s="293" t="s">
        <v>4</v>
      </c>
      <c r="I6" s="292"/>
      <c r="J6" s="292"/>
      <c r="K6" s="292"/>
      <c r="L6" s="292"/>
      <c r="M6" s="292"/>
      <c r="N6" s="292"/>
      <c r="O6" s="292"/>
      <c r="P6" s="292"/>
      <c r="Q6" s="293" t="s">
        <v>5</v>
      </c>
      <c r="R6" s="294"/>
      <c r="S6" s="32"/>
      <c r="T6" s="227"/>
      <c r="V6" s="27" t="s">
        <v>72</v>
      </c>
      <c r="X6" s="226" t="s">
        <v>18</v>
      </c>
      <c r="Y6" s="226"/>
    </row>
    <row r="7" spans="1:25" x14ac:dyDescent="0.25">
      <c r="A7" s="214"/>
      <c r="B7" s="39"/>
      <c r="C7" s="295">
        <v>1</v>
      </c>
      <c r="D7" s="296"/>
      <c r="E7" s="285"/>
      <c r="F7" s="286"/>
      <c r="G7" s="287"/>
      <c r="H7" s="219" t="s">
        <v>99</v>
      </c>
      <c r="I7" s="220"/>
      <c r="J7" s="220"/>
      <c r="K7" s="220"/>
      <c r="L7" s="220"/>
      <c r="M7" s="220"/>
      <c r="N7" s="220"/>
      <c r="O7" s="220"/>
      <c r="P7" s="221"/>
      <c r="Q7" s="222"/>
      <c r="R7" s="223"/>
      <c r="S7" s="33"/>
      <c r="T7" s="227"/>
      <c r="V7" s="27" t="s">
        <v>73</v>
      </c>
      <c r="X7" s="226" t="s">
        <v>11</v>
      </c>
      <c r="Y7" s="226"/>
    </row>
    <row r="8" spans="1:25" x14ac:dyDescent="0.25">
      <c r="A8" s="214"/>
      <c r="B8" s="39"/>
      <c r="C8" s="280"/>
      <c r="D8" s="281"/>
      <c r="E8" s="282"/>
      <c r="F8" s="283"/>
      <c r="G8" s="284"/>
      <c r="H8" s="273"/>
      <c r="I8" s="274"/>
      <c r="J8" s="274"/>
      <c r="K8" s="274"/>
      <c r="L8" s="274"/>
      <c r="M8" s="274"/>
      <c r="N8" s="274"/>
      <c r="O8" s="274"/>
      <c r="P8" s="275"/>
      <c r="Q8" s="224"/>
      <c r="R8" s="225"/>
      <c r="S8" s="33"/>
      <c r="T8" s="227"/>
      <c r="V8" s="27" t="s">
        <v>74</v>
      </c>
      <c r="X8" s="226" t="s">
        <v>19</v>
      </c>
      <c r="Y8" s="226"/>
    </row>
    <row r="9" spans="1:25" x14ac:dyDescent="0.25">
      <c r="A9" s="214"/>
      <c r="B9" s="39"/>
      <c r="C9" s="280"/>
      <c r="D9" s="281"/>
      <c r="E9" s="282"/>
      <c r="F9" s="283"/>
      <c r="G9" s="284"/>
      <c r="H9" s="273"/>
      <c r="I9" s="274"/>
      <c r="J9" s="274"/>
      <c r="K9" s="274"/>
      <c r="L9" s="274"/>
      <c r="M9" s="274"/>
      <c r="N9" s="274"/>
      <c r="O9" s="274"/>
      <c r="P9" s="275"/>
      <c r="Q9" s="224"/>
      <c r="R9" s="225"/>
      <c r="S9" s="33"/>
      <c r="T9" s="227"/>
      <c r="V9" s="27" t="s">
        <v>75</v>
      </c>
      <c r="X9" s="226" t="s">
        <v>12</v>
      </c>
      <c r="Y9" s="226"/>
    </row>
    <row r="10" spans="1:25" x14ac:dyDescent="0.25">
      <c r="A10" s="214"/>
      <c r="B10" s="39"/>
      <c r="C10" s="280"/>
      <c r="D10" s="281"/>
      <c r="E10" s="282"/>
      <c r="F10" s="283"/>
      <c r="G10" s="284"/>
      <c r="H10" s="273"/>
      <c r="I10" s="274"/>
      <c r="J10" s="274"/>
      <c r="K10" s="274"/>
      <c r="L10" s="274"/>
      <c r="M10" s="274"/>
      <c r="N10" s="274"/>
      <c r="O10" s="274"/>
      <c r="P10" s="275"/>
      <c r="Q10" s="224"/>
      <c r="R10" s="225"/>
      <c r="S10" s="33"/>
      <c r="T10" s="227"/>
      <c r="V10" s="27" t="s">
        <v>76</v>
      </c>
      <c r="X10" s="226" t="s">
        <v>13</v>
      </c>
      <c r="Y10" s="226"/>
    </row>
    <row r="11" spans="1:25" x14ac:dyDescent="0.25">
      <c r="A11" s="214"/>
      <c r="B11" s="39"/>
      <c r="C11" s="280"/>
      <c r="D11" s="281"/>
      <c r="E11" s="282"/>
      <c r="F11" s="283"/>
      <c r="G11" s="284"/>
      <c r="H11" s="273"/>
      <c r="I11" s="274"/>
      <c r="J11" s="274"/>
      <c r="K11" s="274"/>
      <c r="L11" s="274"/>
      <c r="M11" s="274"/>
      <c r="N11" s="274"/>
      <c r="O11" s="274"/>
      <c r="P11" s="275"/>
      <c r="Q11" s="224"/>
      <c r="R11" s="225"/>
      <c r="S11" s="33"/>
      <c r="T11" s="227"/>
      <c r="V11" s="27" t="s">
        <v>77</v>
      </c>
      <c r="X11" s="226" t="s">
        <v>14</v>
      </c>
      <c r="Y11" s="226"/>
    </row>
    <row r="12" spans="1:25" x14ac:dyDescent="0.25">
      <c r="A12" s="214"/>
      <c r="B12" s="39"/>
      <c r="C12" s="280"/>
      <c r="D12" s="281"/>
      <c r="E12" s="282"/>
      <c r="F12" s="283"/>
      <c r="G12" s="284"/>
      <c r="H12" s="273"/>
      <c r="I12" s="274"/>
      <c r="J12" s="274"/>
      <c r="K12" s="274"/>
      <c r="L12" s="274"/>
      <c r="M12" s="274"/>
      <c r="N12" s="274"/>
      <c r="O12" s="274"/>
      <c r="P12" s="275"/>
      <c r="Q12" s="224"/>
      <c r="R12" s="225"/>
      <c r="S12" s="33"/>
      <c r="T12" s="227"/>
      <c r="V12" s="27" t="s">
        <v>78</v>
      </c>
      <c r="X12" s="226" t="s">
        <v>15</v>
      </c>
      <c r="Y12" s="226"/>
    </row>
    <row r="13" spans="1:25" x14ac:dyDescent="0.25">
      <c r="A13" s="214"/>
      <c r="B13" s="39"/>
      <c r="C13" s="280"/>
      <c r="D13" s="281"/>
      <c r="E13" s="282"/>
      <c r="F13" s="283"/>
      <c r="G13" s="284"/>
      <c r="H13" s="273"/>
      <c r="I13" s="274"/>
      <c r="J13" s="274"/>
      <c r="K13" s="274"/>
      <c r="L13" s="274"/>
      <c r="M13" s="274"/>
      <c r="N13" s="274"/>
      <c r="O13" s="274"/>
      <c r="P13" s="275"/>
      <c r="Q13" s="224"/>
      <c r="R13" s="225"/>
      <c r="S13" s="33"/>
      <c r="T13" s="227"/>
      <c r="V13" s="27" t="s">
        <v>79</v>
      </c>
      <c r="X13" s="226" t="s">
        <v>16</v>
      </c>
      <c r="Y13" s="226"/>
    </row>
    <row r="14" spans="1:25" x14ac:dyDescent="0.25">
      <c r="A14" s="214"/>
      <c r="B14" s="39"/>
      <c r="C14" s="280"/>
      <c r="D14" s="281"/>
      <c r="E14" s="282"/>
      <c r="F14" s="283"/>
      <c r="G14" s="284"/>
      <c r="H14" s="273"/>
      <c r="I14" s="274"/>
      <c r="J14" s="274"/>
      <c r="K14" s="274"/>
      <c r="L14" s="274"/>
      <c r="M14" s="274"/>
      <c r="N14" s="274"/>
      <c r="O14" s="274"/>
      <c r="P14" s="275"/>
      <c r="Q14" s="224"/>
      <c r="R14" s="225"/>
      <c r="S14" s="33"/>
      <c r="T14" s="227"/>
      <c r="V14" s="27" t="s">
        <v>80</v>
      </c>
      <c r="X14" s="45" t="s">
        <v>85</v>
      </c>
    </row>
    <row r="15" spans="1:25" x14ac:dyDescent="0.25">
      <c r="A15" s="214"/>
      <c r="B15" s="39"/>
      <c r="C15" s="280"/>
      <c r="D15" s="281"/>
      <c r="E15" s="282"/>
      <c r="F15" s="283"/>
      <c r="G15" s="284"/>
      <c r="H15" s="273"/>
      <c r="I15" s="274"/>
      <c r="J15" s="274"/>
      <c r="K15" s="274"/>
      <c r="L15" s="274"/>
      <c r="M15" s="274"/>
      <c r="N15" s="274"/>
      <c r="O15" s="274"/>
      <c r="P15" s="275"/>
      <c r="Q15" s="224"/>
      <c r="R15" s="225"/>
      <c r="S15" s="33"/>
      <c r="T15" s="227"/>
      <c r="V15" s="13" t="s">
        <v>130</v>
      </c>
      <c r="X15" s="42" t="s">
        <v>81</v>
      </c>
    </row>
    <row r="16" spans="1:25" ht="15.75" thickBot="1" x14ac:dyDescent="0.3">
      <c r="A16" s="214"/>
      <c r="B16" s="39"/>
      <c r="C16" s="297"/>
      <c r="D16" s="298"/>
      <c r="E16" s="299"/>
      <c r="F16" s="300"/>
      <c r="G16" s="301"/>
      <c r="H16" s="302"/>
      <c r="I16" s="303"/>
      <c r="J16" s="303"/>
      <c r="K16" s="303"/>
      <c r="L16" s="303"/>
      <c r="M16" s="303"/>
      <c r="N16" s="303"/>
      <c r="O16" s="303"/>
      <c r="P16" s="304"/>
      <c r="Q16" s="305"/>
      <c r="R16" s="306"/>
      <c r="S16" s="33"/>
      <c r="T16" s="227"/>
      <c r="V16" s="13" t="s">
        <v>131</v>
      </c>
      <c r="X16" s="42" t="s">
        <v>100</v>
      </c>
    </row>
    <row r="17" spans="1:24" x14ac:dyDescent="0.25">
      <c r="A17" s="214"/>
      <c r="B17" s="39"/>
      <c r="C17" s="215"/>
      <c r="D17" s="215"/>
      <c r="E17" s="216"/>
      <c r="F17" s="216"/>
      <c r="G17" s="216"/>
      <c r="H17" s="217"/>
      <c r="I17" s="217"/>
      <c r="J17" s="217"/>
      <c r="K17" s="217"/>
      <c r="L17" s="217"/>
      <c r="M17" s="217"/>
      <c r="N17" s="217"/>
      <c r="O17" s="217"/>
      <c r="P17" s="217"/>
      <c r="Q17" s="218"/>
      <c r="R17" s="218"/>
      <c r="S17" s="33"/>
      <c r="T17" s="227"/>
      <c r="V17" s="13" t="s">
        <v>132</v>
      </c>
      <c r="X17" s="42" t="s">
        <v>114</v>
      </c>
    </row>
    <row r="18" spans="1:24" x14ac:dyDescent="0.25">
      <c r="A18" s="214"/>
      <c r="B18" s="39"/>
      <c r="C18" s="215"/>
      <c r="D18" s="215"/>
      <c r="E18" s="216"/>
      <c r="F18" s="216"/>
      <c r="G18" s="216"/>
      <c r="H18" s="217"/>
      <c r="I18" s="217"/>
      <c r="J18" s="217"/>
      <c r="K18" s="217"/>
      <c r="L18" s="217"/>
      <c r="M18" s="217"/>
      <c r="N18" s="217"/>
      <c r="O18" s="217"/>
      <c r="P18" s="217"/>
      <c r="Q18" s="218"/>
      <c r="R18" s="218"/>
      <c r="S18" s="33"/>
      <c r="T18" s="227"/>
    </row>
    <row r="19" spans="1:24" x14ac:dyDescent="0.25">
      <c r="A19" s="214"/>
      <c r="B19" s="39"/>
      <c r="C19" s="215"/>
      <c r="D19" s="215"/>
      <c r="E19" s="216"/>
      <c r="F19" s="216"/>
      <c r="G19" s="216"/>
      <c r="H19" s="217"/>
      <c r="I19" s="217"/>
      <c r="J19" s="217"/>
      <c r="K19" s="217"/>
      <c r="L19" s="217"/>
      <c r="M19" s="217"/>
      <c r="N19" s="217"/>
      <c r="O19" s="217"/>
      <c r="P19" s="217"/>
      <c r="Q19" s="218"/>
      <c r="R19" s="218"/>
      <c r="S19" s="33"/>
      <c r="T19" s="227"/>
    </row>
    <row r="20" spans="1:24" x14ac:dyDescent="0.25">
      <c r="A20" s="214"/>
      <c r="B20" s="39"/>
      <c r="C20" s="215"/>
      <c r="D20" s="215"/>
      <c r="E20" s="216"/>
      <c r="F20" s="216"/>
      <c r="G20" s="216"/>
      <c r="H20" s="217"/>
      <c r="I20" s="217"/>
      <c r="J20" s="217"/>
      <c r="K20" s="217"/>
      <c r="L20" s="217"/>
      <c r="M20" s="217"/>
      <c r="N20" s="217"/>
      <c r="O20" s="217"/>
      <c r="P20" s="217"/>
      <c r="Q20" s="218"/>
      <c r="R20" s="218"/>
      <c r="S20" s="33"/>
      <c r="T20" s="227"/>
    </row>
    <row r="21" spans="1:24" x14ac:dyDescent="0.25">
      <c r="A21" s="214"/>
      <c r="B21" s="39"/>
      <c r="C21" s="215"/>
      <c r="D21" s="215"/>
      <c r="E21" s="216"/>
      <c r="F21" s="216"/>
      <c r="G21" s="216"/>
      <c r="H21" s="217"/>
      <c r="I21" s="217"/>
      <c r="J21" s="217"/>
      <c r="K21" s="217"/>
      <c r="L21" s="217"/>
      <c r="M21" s="217"/>
      <c r="N21" s="217"/>
      <c r="O21" s="217"/>
      <c r="P21" s="217"/>
      <c r="Q21" s="218"/>
      <c r="R21" s="218"/>
      <c r="S21" s="33"/>
      <c r="T21" s="227"/>
    </row>
    <row r="22" spans="1:24" x14ac:dyDescent="0.25">
      <c r="A22" s="214"/>
      <c r="B22" s="39"/>
      <c r="C22" s="215"/>
      <c r="D22" s="215"/>
      <c r="E22" s="216"/>
      <c r="F22" s="216"/>
      <c r="G22" s="216"/>
      <c r="H22" s="217"/>
      <c r="I22" s="217"/>
      <c r="J22" s="217"/>
      <c r="K22" s="217"/>
      <c r="L22" s="217"/>
      <c r="M22" s="217"/>
      <c r="N22" s="217"/>
      <c r="O22" s="217"/>
      <c r="P22" s="217"/>
      <c r="Q22" s="218"/>
      <c r="R22" s="218"/>
      <c r="S22" s="33"/>
      <c r="T22" s="227"/>
    </row>
    <row r="23" spans="1:24" x14ac:dyDescent="0.25">
      <c r="A23" s="214"/>
      <c r="B23" s="39"/>
      <c r="C23" s="215"/>
      <c r="D23" s="215"/>
      <c r="E23" s="216"/>
      <c r="F23" s="216"/>
      <c r="G23" s="216"/>
      <c r="H23" s="217"/>
      <c r="I23" s="217"/>
      <c r="J23" s="217"/>
      <c r="K23" s="217"/>
      <c r="L23" s="217"/>
      <c r="M23" s="217"/>
      <c r="N23" s="217"/>
      <c r="O23" s="217"/>
      <c r="P23" s="217"/>
      <c r="Q23" s="218"/>
      <c r="R23" s="218"/>
      <c r="S23" s="33"/>
      <c r="T23" s="227"/>
    </row>
    <row r="24" spans="1:24" x14ac:dyDescent="0.25">
      <c r="A24" s="214"/>
      <c r="B24" s="39"/>
      <c r="C24" s="215"/>
      <c r="D24" s="215"/>
      <c r="E24" s="216"/>
      <c r="F24" s="216"/>
      <c r="G24" s="216"/>
      <c r="H24" s="217"/>
      <c r="I24" s="217"/>
      <c r="J24" s="217"/>
      <c r="K24" s="217"/>
      <c r="L24" s="217"/>
      <c r="M24" s="217"/>
      <c r="N24" s="217"/>
      <c r="O24" s="217"/>
      <c r="P24" s="217"/>
      <c r="Q24" s="218"/>
      <c r="R24" s="218"/>
      <c r="S24" s="33"/>
      <c r="T24" s="227"/>
    </row>
    <row r="25" spans="1:24" x14ac:dyDescent="0.25">
      <c r="A25" s="214"/>
      <c r="B25" s="39"/>
      <c r="C25" s="215"/>
      <c r="D25" s="215"/>
      <c r="E25" s="216"/>
      <c r="F25" s="216"/>
      <c r="G25" s="216"/>
      <c r="H25" s="217"/>
      <c r="I25" s="217"/>
      <c r="J25" s="217"/>
      <c r="K25" s="217"/>
      <c r="L25" s="217"/>
      <c r="M25" s="217"/>
      <c r="N25" s="217"/>
      <c r="O25" s="217"/>
      <c r="P25" s="217"/>
      <c r="Q25" s="218"/>
      <c r="R25" s="218"/>
      <c r="S25" s="33"/>
      <c r="T25" s="227"/>
    </row>
    <row r="26" spans="1:24" x14ac:dyDescent="0.25">
      <c r="A26" s="214"/>
      <c r="B26" s="39"/>
      <c r="C26" s="215"/>
      <c r="D26" s="215"/>
      <c r="E26" s="216"/>
      <c r="F26" s="216"/>
      <c r="G26" s="216"/>
      <c r="H26" s="217"/>
      <c r="I26" s="217"/>
      <c r="J26" s="217"/>
      <c r="K26" s="217"/>
      <c r="L26" s="217"/>
      <c r="M26" s="217"/>
      <c r="N26" s="217"/>
      <c r="O26" s="217"/>
      <c r="P26" s="217"/>
      <c r="Q26" s="218"/>
      <c r="R26" s="218"/>
      <c r="S26" s="33"/>
      <c r="T26" s="227"/>
    </row>
    <row r="27" spans="1:24" x14ac:dyDescent="0.25">
      <c r="A27" s="214"/>
      <c r="B27" s="39"/>
      <c r="C27" s="215"/>
      <c r="D27" s="215"/>
      <c r="E27" s="216"/>
      <c r="F27" s="216"/>
      <c r="G27" s="216"/>
      <c r="H27" s="217"/>
      <c r="I27" s="217"/>
      <c r="J27" s="217"/>
      <c r="K27" s="217"/>
      <c r="L27" s="217"/>
      <c r="M27" s="217"/>
      <c r="N27" s="217"/>
      <c r="O27" s="217"/>
      <c r="P27" s="217"/>
      <c r="Q27" s="218"/>
      <c r="R27" s="218"/>
      <c r="S27" s="33"/>
      <c r="T27" s="227"/>
    </row>
    <row r="28" spans="1:24" x14ac:dyDescent="0.25">
      <c r="A28" s="214"/>
      <c r="B28" s="39"/>
      <c r="C28" s="215"/>
      <c r="D28" s="215"/>
      <c r="E28" s="216"/>
      <c r="F28" s="216"/>
      <c r="G28" s="216"/>
      <c r="H28" s="217"/>
      <c r="I28" s="217"/>
      <c r="J28" s="217"/>
      <c r="K28" s="217"/>
      <c r="L28" s="217"/>
      <c r="M28" s="217"/>
      <c r="N28" s="217"/>
      <c r="O28" s="217"/>
      <c r="P28" s="217"/>
      <c r="Q28" s="218"/>
      <c r="R28" s="218"/>
      <c r="S28" s="33"/>
      <c r="T28" s="227"/>
    </row>
    <row r="29" spans="1:24" x14ac:dyDescent="0.25">
      <c r="A29" s="214"/>
      <c r="B29" s="39"/>
      <c r="C29" s="215"/>
      <c r="D29" s="215"/>
      <c r="E29" s="216"/>
      <c r="F29" s="216"/>
      <c r="G29" s="216"/>
      <c r="H29" s="217"/>
      <c r="I29" s="217"/>
      <c r="J29" s="217"/>
      <c r="K29" s="217"/>
      <c r="L29" s="217"/>
      <c r="M29" s="217"/>
      <c r="N29" s="217"/>
      <c r="O29" s="217"/>
      <c r="P29" s="217"/>
      <c r="Q29" s="218"/>
      <c r="R29" s="218"/>
      <c r="S29" s="33"/>
      <c r="T29" s="227"/>
    </row>
    <row r="30" spans="1:24" x14ac:dyDescent="0.25">
      <c r="A30" s="214"/>
      <c r="B30" s="39"/>
      <c r="C30" s="215"/>
      <c r="D30" s="215"/>
      <c r="E30" s="216"/>
      <c r="F30" s="216"/>
      <c r="G30" s="216"/>
      <c r="H30" s="217"/>
      <c r="I30" s="217"/>
      <c r="J30" s="217"/>
      <c r="K30" s="217"/>
      <c r="L30" s="217"/>
      <c r="M30" s="217"/>
      <c r="N30" s="217"/>
      <c r="O30" s="217"/>
      <c r="P30" s="217"/>
      <c r="Q30" s="218"/>
      <c r="R30" s="218"/>
      <c r="S30" s="33"/>
      <c r="T30" s="227"/>
    </row>
    <row r="31" spans="1:24" x14ac:dyDescent="0.25">
      <c r="A31" s="214"/>
      <c r="B31" s="39"/>
      <c r="C31" s="215"/>
      <c r="D31" s="215"/>
      <c r="E31" s="216"/>
      <c r="F31" s="216"/>
      <c r="G31" s="216"/>
      <c r="H31" s="217"/>
      <c r="I31" s="217"/>
      <c r="J31" s="217"/>
      <c r="K31" s="217"/>
      <c r="L31" s="217"/>
      <c r="M31" s="217"/>
      <c r="N31" s="217"/>
      <c r="O31" s="217"/>
      <c r="P31" s="217"/>
      <c r="Q31" s="218"/>
      <c r="R31" s="218"/>
      <c r="S31" s="33"/>
      <c r="T31" s="227"/>
    </row>
    <row r="32" spans="1:24" x14ac:dyDescent="0.25">
      <c r="A32" s="214"/>
      <c r="B32" s="39"/>
      <c r="C32" s="215"/>
      <c r="D32" s="215"/>
      <c r="E32" s="216"/>
      <c r="F32" s="216"/>
      <c r="G32" s="216"/>
      <c r="H32" s="217"/>
      <c r="I32" s="217"/>
      <c r="J32" s="217"/>
      <c r="K32" s="217"/>
      <c r="L32" s="217"/>
      <c r="M32" s="217"/>
      <c r="N32" s="217"/>
      <c r="O32" s="217"/>
      <c r="P32" s="217"/>
      <c r="Q32" s="218"/>
      <c r="R32" s="218"/>
      <c r="S32" s="33"/>
      <c r="T32" s="227"/>
    </row>
    <row r="33" spans="1:24" x14ac:dyDescent="0.25">
      <c r="A33" s="214"/>
      <c r="B33" s="39"/>
      <c r="C33" s="215"/>
      <c r="D33" s="215"/>
      <c r="E33" s="216"/>
      <c r="F33" s="216"/>
      <c r="G33" s="216"/>
      <c r="H33" s="217"/>
      <c r="I33" s="217"/>
      <c r="J33" s="217"/>
      <c r="K33" s="217"/>
      <c r="L33" s="217"/>
      <c r="M33" s="217"/>
      <c r="N33" s="217"/>
      <c r="O33" s="217"/>
      <c r="P33" s="217"/>
      <c r="Q33" s="218"/>
      <c r="R33" s="218"/>
      <c r="S33" s="33"/>
      <c r="T33" s="227"/>
    </row>
    <row r="34" spans="1:24" x14ac:dyDescent="0.25">
      <c r="A34" s="214"/>
      <c r="B34" s="39"/>
      <c r="C34" s="215"/>
      <c r="D34" s="215"/>
      <c r="E34" s="216"/>
      <c r="F34" s="216"/>
      <c r="G34" s="216"/>
      <c r="H34" s="217"/>
      <c r="I34" s="217"/>
      <c r="J34" s="217"/>
      <c r="K34" s="217"/>
      <c r="L34" s="217"/>
      <c r="M34" s="217"/>
      <c r="N34" s="217"/>
      <c r="O34" s="217"/>
      <c r="P34" s="217"/>
      <c r="Q34" s="218"/>
      <c r="R34" s="218"/>
      <c r="S34" s="33"/>
      <c r="T34" s="227"/>
    </row>
    <row r="35" spans="1:24" x14ac:dyDescent="0.25">
      <c r="A35" s="214"/>
      <c r="B35" s="39"/>
      <c r="C35" s="215"/>
      <c r="D35" s="215"/>
      <c r="E35" s="216"/>
      <c r="F35" s="216"/>
      <c r="G35" s="216"/>
      <c r="H35" s="217"/>
      <c r="I35" s="217"/>
      <c r="J35" s="217"/>
      <c r="K35" s="217"/>
      <c r="L35" s="217"/>
      <c r="M35" s="217"/>
      <c r="N35" s="217"/>
      <c r="O35" s="217"/>
      <c r="P35" s="217"/>
      <c r="Q35" s="218"/>
      <c r="R35" s="218"/>
      <c r="S35" s="33"/>
      <c r="T35" s="227"/>
    </row>
    <row r="36" spans="1:24" x14ac:dyDescent="0.25">
      <c r="A36" s="214"/>
      <c r="B36" s="39"/>
      <c r="C36" s="215"/>
      <c r="D36" s="215"/>
      <c r="E36" s="216"/>
      <c r="F36" s="216"/>
      <c r="G36" s="216"/>
      <c r="H36" s="217"/>
      <c r="I36" s="217"/>
      <c r="J36" s="217"/>
      <c r="K36" s="217"/>
      <c r="L36" s="217"/>
      <c r="M36" s="217"/>
      <c r="N36" s="217"/>
      <c r="O36" s="217"/>
      <c r="P36" s="217"/>
      <c r="Q36" s="218"/>
      <c r="R36" s="218"/>
      <c r="S36" s="33"/>
      <c r="T36" s="227"/>
    </row>
    <row r="37" spans="1:24" x14ac:dyDescent="0.25">
      <c r="A37" s="214"/>
      <c r="B37" s="39"/>
      <c r="C37" s="215"/>
      <c r="D37" s="215"/>
      <c r="E37" s="216"/>
      <c r="F37" s="216"/>
      <c r="G37" s="216"/>
      <c r="H37" s="217"/>
      <c r="I37" s="217"/>
      <c r="J37" s="217"/>
      <c r="K37" s="217"/>
      <c r="L37" s="217"/>
      <c r="M37" s="217"/>
      <c r="N37" s="217"/>
      <c r="O37" s="217"/>
      <c r="P37" s="217"/>
      <c r="Q37" s="218"/>
      <c r="R37" s="218"/>
      <c r="S37" s="33"/>
      <c r="T37" s="227"/>
    </row>
    <row r="38" spans="1:24" x14ac:dyDescent="0.25">
      <c r="A38" s="214"/>
      <c r="B38" s="39"/>
      <c r="C38" s="215"/>
      <c r="D38" s="215"/>
      <c r="E38" s="216"/>
      <c r="F38" s="216"/>
      <c r="G38" s="216"/>
      <c r="H38" s="217"/>
      <c r="I38" s="217"/>
      <c r="J38" s="217"/>
      <c r="K38" s="217"/>
      <c r="L38" s="217"/>
      <c r="M38" s="217"/>
      <c r="N38" s="217"/>
      <c r="O38" s="217"/>
      <c r="P38" s="217"/>
      <c r="Q38" s="218"/>
      <c r="R38" s="218"/>
      <c r="S38" s="33"/>
      <c r="T38" s="227"/>
    </row>
    <row r="39" spans="1:24" x14ac:dyDescent="0.25">
      <c r="A39" s="214"/>
      <c r="B39" s="39"/>
      <c r="C39" s="215"/>
      <c r="D39" s="215"/>
      <c r="E39" s="216"/>
      <c r="F39" s="216"/>
      <c r="G39" s="216"/>
      <c r="H39" s="217"/>
      <c r="I39" s="217"/>
      <c r="J39" s="217"/>
      <c r="K39" s="217"/>
      <c r="L39" s="217"/>
      <c r="M39" s="217"/>
      <c r="N39" s="217"/>
      <c r="O39" s="217"/>
      <c r="P39" s="217"/>
      <c r="Q39" s="218"/>
      <c r="R39" s="218"/>
      <c r="S39" s="33"/>
      <c r="T39" s="227"/>
    </row>
    <row r="40" spans="1:24" x14ac:dyDescent="0.25">
      <c r="A40" s="214"/>
      <c r="B40" s="39"/>
      <c r="C40" s="215"/>
      <c r="D40" s="215"/>
      <c r="E40" s="216"/>
      <c r="F40" s="216"/>
      <c r="G40" s="216"/>
      <c r="H40" s="217"/>
      <c r="I40" s="217"/>
      <c r="J40" s="217"/>
      <c r="K40" s="217"/>
      <c r="L40" s="217"/>
      <c r="M40" s="217"/>
      <c r="N40" s="217"/>
      <c r="O40" s="217"/>
      <c r="P40" s="217"/>
      <c r="Q40" s="218"/>
      <c r="R40" s="218"/>
      <c r="S40" s="33"/>
      <c r="T40" s="227"/>
    </row>
    <row r="41" spans="1:24" x14ac:dyDescent="0.25">
      <c r="A41" s="214"/>
      <c r="B41" s="39"/>
      <c r="C41" s="215"/>
      <c r="D41" s="215"/>
      <c r="E41" s="216"/>
      <c r="F41" s="216"/>
      <c r="G41" s="216"/>
      <c r="H41" s="217"/>
      <c r="I41" s="217"/>
      <c r="J41" s="217"/>
      <c r="K41" s="217"/>
      <c r="L41" s="217"/>
      <c r="M41" s="217"/>
      <c r="N41" s="217"/>
      <c r="O41" s="217"/>
      <c r="P41" s="217"/>
      <c r="Q41" s="218"/>
      <c r="R41" s="218"/>
      <c r="S41" s="33"/>
      <c r="T41" s="227"/>
    </row>
    <row r="42" spans="1:24" ht="15" customHeight="1" x14ac:dyDescent="0.25">
      <c r="A42" s="214"/>
      <c r="B42" s="40"/>
      <c r="C42" s="215"/>
      <c r="D42" s="215"/>
      <c r="E42" s="216"/>
      <c r="F42" s="216"/>
      <c r="G42" s="216"/>
      <c r="H42" s="217"/>
      <c r="I42" s="217"/>
      <c r="J42" s="217"/>
      <c r="K42" s="217"/>
      <c r="L42" s="217"/>
      <c r="M42" s="217"/>
      <c r="N42" s="217"/>
      <c r="O42" s="217"/>
      <c r="P42" s="217"/>
      <c r="Q42" s="218"/>
      <c r="R42" s="218"/>
      <c r="S42" s="34"/>
      <c r="T42" s="227"/>
    </row>
    <row r="43" spans="1:24" ht="15" customHeight="1" x14ac:dyDescent="0.25">
      <c r="A43" s="214"/>
      <c r="B43" s="40"/>
      <c r="C43" s="215"/>
      <c r="D43" s="215"/>
      <c r="E43" s="216"/>
      <c r="F43" s="216"/>
      <c r="G43" s="216"/>
      <c r="H43" s="217"/>
      <c r="I43" s="217"/>
      <c r="J43" s="217"/>
      <c r="K43" s="217"/>
      <c r="L43" s="217"/>
      <c r="M43" s="217"/>
      <c r="N43" s="217"/>
      <c r="O43" s="217"/>
      <c r="P43" s="217"/>
      <c r="Q43" s="218"/>
      <c r="R43" s="218"/>
      <c r="S43" s="34"/>
      <c r="T43" s="227"/>
    </row>
    <row r="44" spans="1:24" x14ac:dyDescent="0.25">
      <c r="A44" s="214"/>
      <c r="B44" s="39"/>
      <c r="C44" s="215"/>
      <c r="D44" s="215"/>
      <c r="E44" s="216"/>
      <c r="F44" s="216"/>
      <c r="G44" s="216"/>
      <c r="H44" s="217"/>
      <c r="I44" s="217"/>
      <c r="J44" s="217"/>
      <c r="K44" s="217"/>
      <c r="L44" s="217"/>
      <c r="M44" s="217"/>
      <c r="N44" s="217"/>
      <c r="O44" s="217"/>
      <c r="P44" s="217"/>
      <c r="Q44" s="218"/>
      <c r="R44" s="218"/>
      <c r="S44" s="33"/>
      <c r="T44" s="227"/>
    </row>
    <row r="45" spans="1:24" s="3" customFormat="1" x14ac:dyDescent="0.25">
      <c r="A45" s="214"/>
      <c r="B45" s="41"/>
      <c r="C45" s="215"/>
      <c r="D45" s="215"/>
      <c r="E45" s="216"/>
      <c r="F45" s="216"/>
      <c r="G45" s="216"/>
      <c r="H45" s="217"/>
      <c r="I45" s="217"/>
      <c r="J45" s="217"/>
      <c r="K45" s="217"/>
      <c r="L45" s="217"/>
      <c r="M45" s="217"/>
      <c r="N45" s="217"/>
      <c r="O45" s="217"/>
      <c r="P45" s="217"/>
      <c r="Q45" s="218"/>
      <c r="R45" s="218"/>
      <c r="S45" s="35"/>
      <c r="T45" s="227"/>
      <c r="U45" s="48"/>
      <c r="W45" s="14"/>
      <c r="X45" s="47"/>
    </row>
    <row r="46" spans="1:24" s="3" customFormat="1" x14ac:dyDescent="0.25">
      <c r="A46" s="214"/>
      <c r="B46" s="41"/>
      <c r="C46" s="215"/>
      <c r="D46" s="215"/>
      <c r="E46" s="216"/>
      <c r="F46" s="216"/>
      <c r="G46" s="216"/>
      <c r="H46" s="217"/>
      <c r="I46" s="217"/>
      <c r="J46" s="217"/>
      <c r="K46" s="217"/>
      <c r="L46" s="217"/>
      <c r="M46" s="217"/>
      <c r="N46" s="217"/>
      <c r="O46" s="217"/>
      <c r="P46" s="217"/>
      <c r="Q46" s="218"/>
      <c r="R46" s="218"/>
      <c r="S46" s="35"/>
      <c r="T46" s="227"/>
      <c r="U46" s="48"/>
      <c r="W46" s="14"/>
      <c r="X46" s="47"/>
    </row>
    <row r="47" spans="1:24" s="3" customFormat="1" ht="15.75" thickBot="1" x14ac:dyDescent="0.3">
      <c r="A47" s="214"/>
      <c r="B47" s="4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5"/>
      <c r="T47" s="227"/>
      <c r="U47" s="48"/>
      <c r="W47" s="14"/>
      <c r="X47" s="47"/>
    </row>
    <row r="48" spans="1:24" x14ac:dyDescent="0.25">
      <c r="A48" s="214"/>
      <c r="B48" s="277" t="s">
        <v>0</v>
      </c>
      <c r="C48" s="278"/>
      <c r="D48" s="278"/>
      <c r="E48" s="278"/>
      <c r="F48" s="278"/>
      <c r="G48" s="228" t="s">
        <v>7</v>
      </c>
      <c r="H48" s="229"/>
      <c r="I48" s="229"/>
      <c r="J48" s="229"/>
      <c r="K48" s="228" t="s">
        <v>8</v>
      </c>
      <c r="L48" s="229"/>
      <c r="M48" s="229"/>
      <c r="N48" s="276"/>
      <c r="O48" s="276" t="s">
        <v>1</v>
      </c>
      <c r="P48" s="278"/>
      <c r="Q48" s="278"/>
      <c r="R48" s="278"/>
      <c r="S48" s="279"/>
      <c r="T48" s="227"/>
    </row>
    <row r="49" spans="1:34" ht="15" customHeight="1" x14ac:dyDescent="0.25">
      <c r="A49" s="214"/>
      <c r="B49" s="307">
        <f>VLOOKUP(G49,C6:G23,3,)</f>
        <v>0</v>
      </c>
      <c r="C49" s="308"/>
      <c r="D49" s="308"/>
      <c r="E49" s="308"/>
      <c r="F49" s="309"/>
      <c r="G49" s="313">
        <f>MAX(C6:D23)</f>
        <v>1</v>
      </c>
      <c r="H49" s="314"/>
      <c r="I49" s="314"/>
      <c r="J49" s="315"/>
      <c r="K49" s="319">
        <f>VLOOKUP(G49,C6:R23,15,)</f>
        <v>0</v>
      </c>
      <c r="L49" s="320"/>
      <c r="M49" s="320"/>
      <c r="N49" s="321"/>
      <c r="O49" s="325"/>
      <c r="P49" s="326"/>
      <c r="Q49" s="326"/>
      <c r="R49" s="326"/>
      <c r="S49" s="327"/>
      <c r="T49" s="227"/>
      <c r="W49" s="29"/>
    </row>
    <row r="50" spans="1:34" ht="15" customHeight="1" thickBot="1" x14ac:dyDescent="0.3">
      <c r="A50" s="214"/>
      <c r="B50" s="310"/>
      <c r="C50" s="311"/>
      <c r="D50" s="311"/>
      <c r="E50" s="311"/>
      <c r="F50" s="312"/>
      <c r="G50" s="316"/>
      <c r="H50" s="317"/>
      <c r="I50" s="317"/>
      <c r="J50" s="318"/>
      <c r="K50" s="322"/>
      <c r="L50" s="323"/>
      <c r="M50" s="323"/>
      <c r="N50" s="324"/>
      <c r="O50" s="328"/>
      <c r="P50" s="329"/>
      <c r="Q50" s="329"/>
      <c r="R50" s="329"/>
      <c r="S50" s="330"/>
      <c r="T50" s="227"/>
      <c r="V50" s="3"/>
    </row>
    <row r="51" spans="1:34" ht="15" customHeight="1" x14ac:dyDescent="0.25">
      <c r="A51" s="214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9"/>
      <c r="T51" s="27"/>
      <c r="U51" s="48">
        <f t="shared" ref="U51:U82" si="0">IF(R51="",0,1)</f>
        <v>0</v>
      </c>
      <c r="W51"/>
      <c r="X51" s="11"/>
      <c r="Y51" s="12"/>
      <c r="Z51" s="12"/>
      <c r="AA51" s="12"/>
      <c r="AB51" s="12"/>
      <c r="AC51" s="12"/>
      <c r="AD51" s="12"/>
      <c r="AE51" s="12"/>
      <c r="AF51" s="12"/>
      <c r="AG51" s="11"/>
      <c r="AH51" s="11"/>
    </row>
    <row r="52" spans="1:34" ht="15" customHeight="1" x14ac:dyDescent="0.25">
      <c r="A52" s="214"/>
      <c r="B52" s="5">
        <v>1</v>
      </c>
      <c r="C52" s="260">
        <v>1</v>
      </c>
      <c r="D52" s="261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3" t="str">
        <f>IF(U52=0," ","D - znak:            SC - char.:")</f>
        <v xml:space="preserve"> </v>
      </c>
      <c r="Q52" s="263"/>
      <c r="R52" s="260"/>
      <c r="S52" s="2"/>
      <c r="T52"/>
      <c r="U52" s="48">
        <f t="shared" si="0"/>
        <v>0</v>
      </c>
      <c r="W52">
        <v>1</v>
      </c>
      <c r="Y52" s="15"/>
      <c r="Z52" s="15"/>
      <c r="AA52" s="15"/>
      <c r="AB52" s="15"/>
      <c r="AC52" s="15"/>
      <c r="AD52" s="15"/>
      <c r="AE52" s="15"/>
      <c r="AF52" s="15"/>
    </row>
    <row r="53" spans="1:34" ht="15" customHeight="1" thickBot="1" x14ac:dyDescent="0.3">
      <c r="A53" s="214"/>
      <c r="B53" s="5"/>
      <c r="C53" s="260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3"/>
      <c r="Q53" s="263"/>
      <c r="R53" s="260"/>
      <c r="S53" s="2"/>
      <c r="T53"/>
      <c r="U53" s="48">
        <f t="shared" si="0"/>
        <v>0</v>
      </c>
      <c r="W53"/>
      <c r="Y53" s="27"/>
      <c r="Z53" s="15"/>
      <c r="AA53" s="15"/>
      <c r="AB53" s="15"/>
      <c r="AC53" s="15"/>
      <c r="AD53" s="15"/>
      <c r="AE53" s="15"/>
      <c r="AF53" s="15"/>
    </row>
    <row r="54" spans="1:34" ht="15" customHeight="1" thickBot="1" x14ac:dyDescent="0.3">
      <c r="A54" s="214"/>
      <c r="B54" s="180"/>
      <c r="C54" s="264"/>
      <c r="D54" s="265"/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265"/>
      <c r="R54" s="266"/>
      <c r="S54" s="2"/>
      <c r="T54"/>
      <c r="U54" s="48">
        <f t="shared" si="0"/>
        <v>0</v>
      </c>
      <c r="W54"/>
      <c r="X54" s="11"/>
      <c r="Y54" s="27"/>
      <c r="Z54" s="12"/>
      <c r="AA54" s="12"/>
      <c r="AB54" s="12"/>
      <c r="AC54" s="12"/>
      <c r="AD54" s="12"/>
      <c r="AE54" s="12"/>
      <c r="AF54" s="12"/>
      <c r="AG54" s="11"/>
      <c r="AH54" s="11"/>
    </row>
    <row r="55" spans="1:34" ht="15" customHeight="1" x14ac:dyDescent="0.25">
      <c r="A55" s="214"/>
      <c r="B55" s="180"/>
      <c r="C55" s="230"/>
      <c r="D55" s="231"/>
      <c r="E55" s="231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2"/>
      <c r="S55" s="2"/>
      <c r="T55" s="27"/>
      <c r="U55" s="48">
        <f t="shared" si="0"/>
        <v>0</v>
      </c>
      <c r="W55"/>
      <c r="Y55" s="27"/>
      <c r="Z55" s="15"/>
      <c r="AA55" s="15"/>
      <c r="AB55" s="15"/>
      <c r="AC55" s="15"/>
      <c r="AD55" s="15"/>
      <c r="AE55" s="15"/>
      <c r="AF55" s="15"/>
    </row>
    <row r="56" spans="1:34" ht="15" customHeight="1" x14ac:dyDescent="0.25">
      <c r="A56" s="214"/>
      <c r="B56" s="180"/>
      <c r="C56" s="233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234"/>
      <c r="P56" s="234"/>
      <c r="Q56" s="234"/>
      <c r="R56" s="214"/>
      <c r="S56" s="2"/>
      <c r="T56" s="27"/>
      <c r="U56" s="48">
        <f t="shared" si="0"/>
        <v>0</v>
      </c>
      <c r="W56"/>
      <c r="Y56" s="27"/>
      <c r="Z56" s="15"/>
      <c r="AA56" s="15"/>
      <c r="AB56" s="15"/>
      <c r="AC56" s="15"/>
      <c r="AD56" s="15"/>
      <c r="AE56" s="15"/>
      <c r="AF56" s="15"/>
    </row>
    <row r="57" spans="1:34" ht="15" customHeight="1" x14ac:dyDescent="0.25">
      <c r="A57" s="214"/>
      <c r="B57" s="180"/>
      <c r="C57" s="233"/>
      <c r="D57" s="234"/>
      <c r="E57" s="234"/>
      <c r="F57" s="234"/>
      <c r="G57" s="234"/>
      <c r="H57" s="234"/>
      <c r="I57" s="234"/>
      <c r="J57" s="234"/>
      <c r="K57" s="234"/>
      <c r="L57" s="234"/>
      <c r="M57" s="234"/>
      <c r="N57" s="234"/>
      <c r="O57" s="234"/>
      <c r="P57" s="234"/>
      <c r="Q57" s="234"/>
      <c r="R57" s="214"/>
      <c r="S57" s="2"/>
      <c r="T57" s="27"/>
      <c r="U57" s="48">
        <f t="shared" si="0"/>
        <v>0</v>
      </c>
      <c r="W57"/>
      <c r="Y57" s="27"/>
      <c r="Z57" s="15"/>
      <c r="AA57" s="15"/>
      <c r="AB57" s="15"/>
      <c r="AC57" s="15"/>
      <c r="AD57" s="15"/>
      <c r="AE57" s="15"/>
      <c r="AF57" s="15"/>
    </row>
    <row r="58" spans="1:34" ht="15" customHeight="1" x14ac:dyDescent="0.25">
      <c r="A58" s="214"/>
      <c r="B58" s="180"/>
      <c r="C58" s="233"/>
      <c r="D58" s="234"/>
      <c r="E58" s="234"/>
      <c r="F58" s="234"/>
      <c r="G58" s="234"/>
      <c r="H58" s="234"/>
      <c r="I58" s="234"/>
      <c r="J58" s="234"/>
      <c r="K58" s="234"/>
      <c r="L58" s="234"/>
      <c r="M58" s="234"/>
      <c r="N58" s="234"/>
      <c r="O58" s="234"/>
      <c r="P58" s="234"/>
      <c r="Q58" s="234"/>
      <c r="R58" s="214"/>
      <c r="S58" s="2"/>
      <c r="T58" s="27"/>
      <c r="U58" s="48">
        <f t="shared" si="0"/>
        <v>0</v>
      </c>
      <c r="W58"/>
      <c r="Y58" s="27"/>
      <c r="Z58" s="15"/>
      <c r="AA58" s="15"/>
      <c r="AB58" s="15"/>
      <c r="AC58" s="15"/>
      <c r="AD58" s="15"/>
      <c r="AE58" s="15"/>
      <c r="AF58" s="15"/>
    </row>
    <row r="59" spans="1:34" ht="15" customHeight="1" x14ac:dyDescent="0.25">
      <c r="A59" s="214"/>
      <c r="B59" s="180"/>
      <c r="C59" s="233"/>
      <c r="D59" s="234"/>
      <c r="E59" s="234"/>
      <c r="F59" s="234"/>
      <c r="G59" s="234"/>
      <c r="H59" s="234"/>
      <c r="I59" s="234"/>
      <c r="J59" s="234"/>
      <c r="K59" s="234"/>
      <c r="L59" s="234"/>
      <c r="M59" s="234"/>
      <c r="N59" s="234"/>
      <c r="O59" s="234"/>
      <c r="P59" s="234"/>
      <c r="Q59" s="234"/>
      <c r="R59" s="214"/>
      <c r="S59" s="2"/>
      <c r="T59" s="15"/>
      <c r="U59" s="48">
        <f t="shared" si="0"/>
        <v>0</v>
      </c>
      <c r="W59"/>
      <c r="Y59" s="27"/>
      <c r="Z59" s="15"/>
      <c r="AA59" s="15"/>
      <c r="AB59" s="15"/>
      <c r="AC59" s="15"/>
      <c r="AD59" s="15"/>
      <c r="AE59" s="15"/>
      <c r="AF59" s="15"/>
    </row>
    <row r="60" spans="1:34" ht="15" customHeight="1" x14ac:dyDescent="0.25">
      <c r="A60" s="214"/>
      <c r="B60" s="180"/>
      <c r="C60" s="233"/>
      <c r="D60" s="234"/>
      <c r="E60" s="234"/>
      <c r="F60" s="234"/>
      <c r="G60" s="234"/>
      <c r="H60" s="234"/>
      <c r="I60" s="234"/>
      <c r="J60" s="234"/>
      <c r="K60" s="234"/>
      <c r="L60" s="234"/>
      <c r="M60" s="234"/>
      <c r="N60" s="234"/>
      <c r="O60" s="234"/>
      <c r="P60" s="234"/>
      <c r="Q60" s="234"/>
      <c r="R60" s="214"/>
      <c r="S60" s="2"/>
      <c r="T60" s="27"/>
      <c r="U60" s="48">
        <f t="shared" si="0"/>
        <v>0</v>
      </c>
      <c r="W60"/>
      <c r="Y60" s="27"/>
      <c r="Z60" s="15"/>
      <c r="AA60" s="15"/>
      <c r="AB60" s="15"/>
      <c r="AC60" s="15"/>
      <c r="AD60" s="12"/>
      <c r="AE60" s="12"/>
      <c r="AF60" s="12"/>
      <c r="AG60" s="6"/>
      <c r="AH60" s="6"/>
    </row>
    <row r="61" spans="1:34" ht="15" customHeight="1" x14ac:dyDescent="0.25">
      <c r="A61" s="214"/>
      <c r="B61" s="180"/>
      <c r="C61" s="233"/>
      <c r="D61" s="234"/>
      <c r="E61" s="234"/>
      <c r="F61" s="234"/>
      <c r="G61" s="234"/>
      <c r="H61" s="234"/>
      <c r="I61" s="234"/>
      <c r="J61" s="234"/>
      <c r="K61" s="234"/>
      <c r="L61" s="234"/>
      <c r="M61" s="234"/>
      <c r="N61" s="234"/>
      <c r="O61" s="234"/>
      <c r="P61" s="234"/>
      <c r="Q61" s="234"/>
      <c r="R61" s="214"/>
      <c r="S61" s="2"/>
      <c r="T61" s="27"/>
      <c r="U61" s="48">
        <f t="shared" si="0"/>
        <v>0</v>
      </c>
      <c r="W61"/>
      <c r="Y61" s="27"/>
      <c r="Z61" s="15"/>
      <c r="AA61" s="15"/>
      <c r="AB61" s="15"/>
      <c r="AC61" s="15"/>
      <c r="AD61" s="12"/>
      <c r="AE61" s="12"/>
      <c r="AF61" s="12"/>
      <c r="AG61" s="6"/>
      <c r="AH61" s="6"/>
    </row>
    <row r="62" spans="1:34" ht="15" customHeight="1" x14ac:dyDescent="0.25">
      <c r="A62" s="214"/>
      <c r="B62" s="180"/>
      <c r="C62" s="233"/>
      <c r="D62" s="234"/>
      <c r="E62" s="234"/>
      <c r="F62" s="234"/>
      <c r="G62" s="234"/>
      <c r="H62" s="234"/>
      <c r="I62" s="234"/>
      <c r="J62" s="234"/>
      <c r="K62" s="234"/>
      <c r="L62" s="234"/>
      <c r="M62" s="234"/>
      <c r="N62" s="234"/>
      <c r="O62" s="234"/>
      <c r="P62" s="234"/>
      <c r="Q62" s="234"/>
      <c r="R62" s="214"/>
      <c r="S62" s="2"/>
      <c r="T62" s="27"/>
      <c r="U62" s="48">
        <f t="shared" si="0"/>
        <v>0</v>
      </c>
      <c r="W62"/>
      <c r="Y62" s="27"/>
      <c r="Z62" s="15"/>
      <c r="AA62" s="15"/>
      <c r="AB62" s="15"/>
      <c r="AC62" s="15"/>
      <c r="AD62" s="15"/>
      <c r="AE62" s="15"/>
      <c r="AF62" s="15"/>
    </row>
    <row r="63" spans="1:34" ht="15" customHeight="1" x14ac:dyDescent="0.25">
      <c r="A63" s="214"/>
      <c r="B63" s="180"/>
      <c r="C63" s="233"/>
      <c r="D63" s="234"/>
      <c r="E63" s="234"/>
      <c r="F63" s="234"/>
      <c r="G63" s="234"/>
      <c r="H63" s="234"/>
      <c r="I63" s="234"/>
      <c r="J63" s="234"/>
      <c r="K63" s="234"/>
      <c r="L63" s="234"/>
      <c r="M63" s="234"/>
      <c r="N63" s="234"/>
      <c r="O63" s="234"/>
      <c r="P63" s="234"/>
      <c r="Q63" s="234"/>
      <c r="R63" s="214"/>
      <c r="S63" s="2"/>
      <c r="T63"/>
      <c r="U63">
        <f t="shared" si="0"/>
        <v>0</v>
      </c>
      <c r="V63"/>
      <c r="W63"/>
      <c r="X63"/>
      <c r="Y63" s="27"/>
      <c r="Z63" s="15"/>
      <c r="AA63" s="15"/>
      <c r="AB63" s="15"/>
      <c r="AC63" s="15"/>
      <c r="AD63" s="15"/>
      <c r="AE63" s="15"/>
      <c r="AF63" s="15"/>
    </row>
    <row r="64" spans="1:34" ht="15" customHeight="1" thickBot="1" x14ac:dyDescent="0.3">
      <c r="A64" s="214"/>
      <c r="B64" s="180"/>
      <c r="C64" s="235"/>
      <c r="D64" s="236"/>
      <c r="E64" s="236"/>
      <c r="F64" s="236"/>
      <c r="G64" s="236"/>
      <c r="H64" s="236"/>
      <c r="I64" s="236"/>
      <c r="J64" s="236"/>
      <c r="K64" s="236"/>
      <c r="L64" s="236"/>
      <c r="M64" s="236"/>
      <c r="N64" s="236"/>
      <c r="O64" s="236"/>
      <c r="P64" s="236"/>
      <c r="Q64" s="236"/>
      <c r="R64" s="237"/>
      <c r="S64" s="2"/>
      <c r="T64"/>
      <c r="U64">
        <f t="shared" si="0"/>
        <v>0</v>
      </c>
      <c r="V64"/>
      <c r="W64"/>
      <c r="X64"/>
      <c r="Y64" s="27"/>
      <c r="Z64" s="15"/>
      <c r="AA64" s="15"/>
      <c r="AB64" s="15"/>
      <c r="AC64" s="15"/>
      <c r="AD64" s="15"/>
      <c r="AE64" s="15"/>
      <c r="AF64" s="15"/>
    </row>
    <row r="65" spans="1:33" ht="15" customHeight="1" x14ac:dyDescent="0.25">
      <c r="A65" s="214"/>
      <c r="B65" s="180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2"/>
      <c r="T65"/>
      <c r="U65">
        <f t="shared" si="0"/>
        <v>0</v>
      </c>
      <c r="V65"/>
      <c r="W65"/>
      <c r="X65"/>
      <c r="Y65" s="27"/>
      <c r="Z65" s="15"/>
      <c r="AA65" s="15"/>
      <c r="AB65" s="15"/>
      <c r="AC65" s="15"/>
      <c r="AD65" s="15"/>
      <c r="AE65" s="15"/>
      <c r="AF65" s="15"/>
    </row>
    <row r="66" spans="1:33" ht="15" customHeight="1" x14ac:dyDescent="0.35">
      <c r="A66" s="214"/>
      <c r="B66" s="180"/>
      <c r="C66" s="181"/>
      <c r="D66" s="206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2"/>
      <c r="T66"/>
      <c r="U66">
        <f t="shared" si="0"/>
        <v>0</v>
      </c>
      <c r="V66"/>
      <c r="W66"/>
      <c r="X66"/>
      <c r="Y66" s="27"/>
      <c r="Z66" s="15"/>
      <c r="AA66" s="15"/>
      <c r="AB66" s="15"/>
      <c r="AC66" s="15"/>
      <c r="AD66" s="15"/>
      <c r="AE66" s="15"/>
      <c r="AF66" s="15"/>
    </row>
    <row r="67" spans="1:33" ht="15" customHeight="1" x14ac:dyDescent="0.25">
      <c r="A67" s="214"/>
      <c r="B67" s="180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2"/>
      <c r="T67"/>
      <c r="U67">
        <f t="shared" si="0"/>
        <v>0</v>
      </c>
      <c r="V67"/>
      <c r="W67"/>
      <c r="X67"/>
      <c r="Y67" s="15"/>
      <c r="Z67" s="15"/>
      <c r="AA67" s="15"/>
      <c r="AB67" s="15"/>
      <c r="AC67" s="15"/>
      <c r="AD67" s="15"/>
      <c r="AE67" s="15"/>
      <c r="AF67" s="15"/>
    </row>
    <row r="68" spans="1:33" ht="15" customHeight="1" x14ac:dyDescent="0.25">
      <c r="A68" s="214"/>
      <c r="B68" s="180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2"/>
      <c r="T68"/>
      <c r="U68">
        <f t="shared" si="0"/>
        <v>0</v>
      </c>
      <c r="W68"/>
      <c r="X68"/>
      <c r="Y68" s="15"/>
      <c r="Z68" s="15"/>
      <c r="AA68" s="15"/>
      <c r="AB68" s="15"/>
      <c r="AC68" s="15"/>
      <c r="AD68" s="15"/>
      <c r="AE68" s="15"/>
      <c r="AF68" s="15"/>
    </row>
    <row r="69" spans="1:33" ht="15" customHeight="1" x14ac:dyDescent="0.25">
      <c r="A69" s="214"/>
      <c r="B69" s="180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2"/>
      <c r="T69"/>
      <c r="U69">
        <f t="shared" si="0"/>
        <v>0</v>
      </c>
      <c r="W69"/>
      <c r="X69"/>
      <c r="Y69" s="15"/>
      <c r="Z69" s="15"/>
      <c r="AA69" s="15"/>
      <c r="AB69" s="15"/>
      <c r="AC69" s="15"/>
      <c r="AD69" s="15"/>
      <c r="AE69" s="15"/>
      <c r="AF69" s="15"/>
    </row>
    <row r="70" spans="1:33" ht="15" customHeight="1" x14ac:dyDescent="0.25">
      <c r="A70" s="214"/>
      <c r="B70" s="180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2"/>
      <c r="T70"/>
      <c r="U70">
        <f t="shared" si="0"/>
        <v>0</v>
      </c>
      <c r="W70"/>
      <c r="X70"/>
      <c r="Y70" s="15"/>
      <c r="Z70" s="15"/>
      <c r="AA70" s="15"/>
      <c r="AB70" s="15"/>
      <c r="AC70" s="15"/>
      <c r="AD70" s="15"/>
      <c r="AE70" s="15"/>
      <c r="AF70" s="15"/>
    </row>
    <row r="71" spans="1:33" ht="15" customHeight="1" x14ac:dyDescent="0.25">
      <c r="A71" s="214"/>
      <c r="B71" s="180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2"/>
      <c r="T71"/>
      <c r="U71">
        <f t="shared" si="0"/>
        <v>0</v>
      </c>
      <c r="W71"/>
      <c r="X71"/>
      <c r="Y71" s="27"/>
      <c r="Z71" s="27"/>
      <c r="AA71" s="27"/>
      <c r="AB71" s="27"/>
      <c r="AC71" s="27"/>
      <c r="AD71" s="27"/>
      <c r="AE71" s="27"/>
      <c r="AF71" s="27"/>
    </row>
    <row r="72" spans="1:33" ht="15" customHeight="1" x14ac:dyDescent="0.25">
      <c r="A72" s="214"/>
      <c r="B72" s="180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2"/>
      <c r="T72"/>
      <c r="U72">
        <f t="shared" si="0"/>
        <v>0</v>
      </c>
      <c r="W72"/>
      <c r="X72"/>
      <c r="Y72" s="27"/>
      <c r="Z72" s="27"/>
      <c r="AA72" s="27"/>
      <c r="AB72" s="27"/>
      <c r="AC72" s="27"/>
      <c r="AD72" s="27"/>
      <c r="AE72" s="27"/>
      <c r="AF72" s="27"/>
    </row>
    <row r="73" spans="1:33" ht="15" customHeight="1" x14ac:dyDescent="0.25">
      <c r="A73" s="214"/>
      <c r="B73" s="180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2"/>
      <c r="T73"/>
      <c r="U73">
        <f t="shared" si="0"/>
        <v>0</v>
      </c>
      <c r="W73"/>
      <c r="X73"/>
      <c r="Y73" s="18"/>
      <c r="Z73" s="18"/>
      <c r="AA73" s="18"/>
      <c r="AB73" s="18"/>
      <c r="AC73" s="18"/>
      <c r="AD73" s="24"/>
      <c r="AE73" s="24"/>
      <c r="AF73" s="15"/>
      <c r="AG73" s="20"/>
    </row>
    <row r="74" spans="1:33" ht="15" customHeight="1" x14ac:dyDescent="0.25">
      <c r="A74" s="214"/>
      <c r="B74" s="180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2"/>
      <c r="T74"/>
      <c r="U74">
        <f t="shared" si="0"/>
        <v>0</v>
      </c>
      <c r="W74"/>
      <c r="X74"/>
      <c r="Y74" s="18"/>
      <c r="Z74" s="18"/>
      <c r="AA74" s="18"/>
      <c r="AB74" s="18"/>
      <c r="AC74" s="18"/>
      <c r="AD74" s="19"/>
      <c r="AE74" s="19"/>
      <c r="AF74" s="15"/>
      <c r="AG74" s="20"/>
    </row>
    <row r="75" spans="1:33" ht="15" customHeight="1" x14ac:dyDescent="0.25">
      <c r="A75" s="214"/>
      <c r="B75" s="180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2"/>
      <c r="T75"/>
      <c r="U75">
        <f t="shared" si="0"/>
        <v>0</v>
      </c>
      <c r="W75"/>
      <c r="X75"/>
      <c r="Y75" s="15"/>
      <c r="Z75" s="15"/>
      <c r="AA75" s="15"/>
      <c r="AB75" s="15"/>
      <c r="AC75" s="15"/>
      <c r="AD75" s="15"/>
      <c r="AE75" s="15"/>
      <c r="AF75" s="15"/>
    </row>
    <row r="76" spans="1:33" ht="15" customHeight="1" x14ac:dyDescent="0.25">
      <c r="A76" s="214"/>
      <c r="B76" s="180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2"/>
      <c r="T76"/>
      <c r="U76">
        <f t="shared" si="0"/>
        <v>0</v>
      </c>
      <c r="W76"/>
      <c r="X76"/>
      <c r="Y76" s="15"/>
      <c r="Z76" s="15"/>
      <c r="AA76" s="15"/>
      <c r="AB76" s="15"/>
      <c r="AC76" s="15"/>
      <c r="AD76" s="15"/>
      <c r="AE76" s="15"/>
      <c r="AF76" s="15"/>
    </row>
    <row r="77" spans="1:33" ht="15" customHeight="1" x14ac:dyDescent="0.25">
      <c r="A77" s="214"/>
      <c r="B77" s="2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2"/>
      <c r="T77"/>
      <c r="U77">
        <f t="shared" si="0"/>
        <v>0</v>
      </c>
      <c r="W77"/>
      <c r="X77"/>
      <c r="Y77" s="15"/>
      <c r="Z77" s="15"/>
      <c r="AA77" s="15"/>
      <c r="AB77" s="15"/>
      <c r="AC77" s="15"/>
      <c r="AD77" s="15"/>
      <c r="AE77" s="15"/>
      <c r="AF77" s="15"/>
    </row>
    <row r="78" spans="1:33" ht="15" customHeight="1" x14ac:dyDescent="0.25">
      <c r="A78" s="214"/>
      <c r="B78" s="25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2"/>
      <c r="T78"/>
      <c r="U78">
        <f t="shared" si="0"/>
        <v>0</v>
      </c>
      <c r="V78"/>
      <c r="W78"/>
      <c r="X78"/>
      <c r="Y78" s="15"/>
      <c r="Z78" s="15"/>
      <c r="AA78" s="15"/>
      <c r="AB78" s="15"/>
      <c r="AC78" s="15"/>
      <c r="AD78" s="15"/>
      <c r="AE78" s="15"/>
      <c r="AF78" s="15"/>
    </row>
    <row r="79" spans="1:33" ht="15" customHeight="1" x14ac:dyDescent="0.25">
      <c r="A79" s="214"/>
      <c r="B79" s="25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2"/>
      <c r="T79"/>
      <c r="U79" s="49">
        <f t="shared" si="0"/>
        <v>0</v>
      </c>
      <c r="V79"/>
      <c r="W79"/>
      <c r="X79"/>
      <c r="Y79" s="15"/>
      <c r="Z79" s="15"/>
      <c r="AA79" s="15"/>
      <c r="AB79" s="15"/>
      <c r="AC79" s="15"/>
      <c r="AD79" s="15"/>
      <c r="AE79" s="15"/>
      <c r="AF79" s="15"/>
    </row>
    <row r="80" spans="1:33" ht="15" customHeight="1" x14ac:dyDescent="0.25">
      <c r="A80" s="214"/>
      <c r="B80" s="22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2"/>
      <c r="T80"/>
      <c r="U80" s="49">
        <f t="shared" si="0"/>
        <v>0</v>
      </c>
      <c r="V80"/>
      <c r="W80"/>
      <c r="X80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214"/>
      <c r="B81" s="25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2"/>
      <c r="T81"/>
      <c r="U81" s="48">
        <f t="shared" si="0"/>
        <v>0</v>
      </c>
      <c r="V81" s="15"/>
      <c r="W81"/>
      <c r="Y81" s="15"/>
      <c r="Z81" s="15"/>
      <c r="AA81" s="15"/>
      <c r="AB81" s="15"/>
      <c r="AC81" s="15"/>
      <c r="AD81" s="15"/>
      <c r="AE81" s="15"/>
      <c r="AF81" s="15"/>
    </row>
    <row r="82" spans="1:32" ht="15" customHeight="1" x14ac:dyDescent="0.25">
      <c r="A82" s="214"/>
      <c r="B82" s="25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2"/>
      <c r="T82"/>
      <c r="U82" s="48">
        <f t="shared" si="0"/>
        <v>0</v>
      </c>
      <c r="V82" s="15"/>
      <c r="W82"/>
      <c r="Y82" s="15"/>
      <c r="Z82" s="15"/>
      <c r="AA82" s="15"/>
      <c r="AB82" s="15"/>
      <c r="AC82" s="15"/>
      <c r="AD82" s="15"/>
      <c r="AE82" s="15"/>
      <c r="AF82" s="15"/>
    </row>
    <row r="83" spans="1:32" ht="15" customHeight="1" x14ac:dyDescent="0.25">
      <c r="A83" s="214"/>
      <c r="B83" s="2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2"/>
      <c r="T83"/>
      <c r="U83" s="48">
        <f t="shared" ref="U83:U99" si="1">IF(R83="",0,1)</f>
        <v>0</v>
      </c>
      <c r="V83" s="15"/>
      <c r="W83"/>
      <c r="Y83" s="15"/>
      <c r="Z83" s="15"/>
      <c r="AA83" s="15"/>
      <c r="AB83" s="15"/>
      <c r="AC83" s="15"/>
      <c r="AD83" s="15"/>
      <c r="AE83" s="15"/>
      <c r="AF83" s="15"/>
    </row>
    <row r="84" spans="1:32" ht="15" customHeight="1" x14ac:dyDescent="0.25">
      <c r="A84" s="214"/>
      <c r="B84" s="28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2"/>
      <c r="T84"/>
      <c r="U84" s="48">
        <f t="shared" si="1"/>
        <v>0</v>
      </c>
      <c r="V84" s="15"/>
      <c r="W84"/>
      <c r="Y84" s="15"/>
      <c r="Z84" s="15"/>
      <c r="AA84" s="15"/>
      <c r="AB84" s="15"/>
      <c r="AC84" s="15"/>
      <c r="AD84" s="15"/>
      <c r="AE84" s="15"/>
      <c r="AF84" s="15"/>
    </row>
    <row r="85" spans="1:32" ht="15" customHeight="1" x14ac:dyDescent="0.25">
      <c r="A85" s="214"/>
      <c r="B85" s="26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2"/>
      <c r="T85"/>
      <c r="U85" s="48">
        <f t="shared" si="1"/>
        <v>0</v>
      </c>
      <c r="V85" s="15"/>
      <c r="W85"/>
      <c r="Y85" s="15"/>
      <c r="Z85" s="15"/>
      <c r="AA85" s="15"/>
      <c r="AB85" s="15"/>
      <c r="AC85" s="15"/>
      <c r="AD85" s="15"/>
      <c r="AE85" s="15"/>
      <c r="AF85" s="15"/>
    </row>
    <row r="86" spans="1:32" ht="15" customHeight="1" x14ac:dyDescent="0.25">
      <c r="A86" s="214"/>
      <c r="B86" s="22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2"/>
      <c r="T86"/>
      <c r="U86" s="48">
        <f t="shared" si="1"/>
        <v>0</v>
      </c>
      <c r="V86" s="15"/>
      <c r="W86"/>
      <c r="Y86" s="15"/>
      <c r="Z86" s="15"/>
      <c r="AA86" s="15"/>
      <c r="AB86" s="15"/>
      <c r="AC86" s="15"/>
      <c r="AD86" s="15"/>
      <c r="AE86" s="15"/>
      <c r="AF86" s="15"/>
    </row>
    <row r="87" spans="1:32" ht="15" customHeight="1" x14ac:dyDescent="0.25">
      <c r="A87" s="214"/>
      <c r="B87" s="22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2"/>
      <c r="T87"/>
      <c r="U87" s="48">
        <f t="shared" si="1"/>
        <v>0</v>
      </c>
      <c r="V87" s="15"/>
      <c r="W87"/>
      <c r="Y87" s="15"/>
      <c r="Z87" s="15"/>
      <c r="AA87" s="15"/>
      <c r="AB87" s="15"/>
      <c r="AC87" s="15"/>
      <c r="AD87" s="15"/>
      <c r="AE87" s="15"/>
      <c r="AF87" s="15"/>
    </row>
    <row r="88" spans="1:32" ht="15" customHeight="1" x14ac:dyDescent="0.25">
      <c r="A88" s="214"/>
      <c r="B88" s="22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2"/>
      <c r="T88"/>
      <c r="U88" s="48">
        <f t="shared" si="1"/>
        <v>0</v>
      </c>
      <c r="V88" s="15"/>
      <c r="W88"/>
      <c r="Y88" s="15"/>
      <c r="Z88" s="15"/>
      <c r="AA88" s="15"/>
      <c r="AB88" s="15"/>
      <c r="AC88" s="15"/>
      <c r="AD88" s="15"/>
      <c r="AE88" s="15"/>
      <c r="AF88" s="15"/>
    </row>
    <row r="89" spans="1:32" ht="15" customHeight="1" x14ac:dyDescent="0.25">
      <c r="A89" s="214"/>
      <c r="B89" s="22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2"/>
      <c r="T89"/>
      <c r="U89" s="48">
        <f t="shared" si="1"/>
        <v>0</v>
      </c>
      <c r="V89" s="15"/>
      <c r="W89"/>
      <c r="Y89" s="15"/>
      <c r="Z89" s="15"/>
      <c r="AA89" s="15"/>
      <c r="AB89" s="15"/>
      <c r="AC89" s="15"/>
      <c r="AD89" s="15"/>
      <c r="AE89" s="15"/>
      <c r="AF89" s="15"/>
    </row>
    <row r="90" spans="1:32" ht="15" customHeight="1" x14ac:dyDescent="0.25">
      <c r="A90" s="214"/>
      <c r="B90" s="2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2"/>
      <c r="T90"/>
      <c r="U90" s="48">
        <f t="shared" si="1"/>
        <v>0</v>
      </c>
      <c r="V90" s="15"/>
      <c r="W90"/>
      <c r="Y90" s="15"/>
      <c r="Z90" s="15"/>
      <c r="AA90" s="15"/>
      <c r="AB90" s="15"/>
      <c r="AC90" s="15"/>
      <c r="AD90" s="15"/>
      <c r="AE90" s="15"/>
      <c r="AF90" s="15"/>
    </row>
    <row r="91" spans="1:32" ht="15" customHeight="1" x14ac:dyDescent="0.25">
      <c r="A91" s="214"/>
      <c r="B91" s="2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2"/>
      <c r="T91"/>
      <c r="U91" s="48">
        <f t="shared" si="1"/>
        <v>0</v>
      </c>
      <c r="V91" s="15"/>
      <c r="W91"/>
      <c r="Y91" s="15"/>
      <c r="Z91" s="15"/>
      <c r="AA91" s="15"/>
      <c r="AB91" s="15"/>
      <c r="AC91" s="15"/>
      <c r="AD91" s="15"/>
      <c r="AE91" s="15"/>
      <c r="AF91" s="15"/>
    </row>
    <row r="92" spans="1:32" ht="15" customHeight="1" x14ac:dyDescent="0.25">
      <c r="A92" s="214"/>
      <c r="B92" s="22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2"/>
      <c r="T92"/>
      <c r="U92" s="48">
        <f t="shared" si="1"/>
        <v>0</v>
      </c>
      <c r="V92" s="15"/>
      <c r="W92"/>
      <c r="Y92" s="15"/>
      <c r="Z92" s="15"/>
      <c r="AA92" s="15"/>
      <c r="AB92" s="15"/>
      <c r="AC92" s="15"/>
      <c r="AD92" s="15"/>
      <c r="AE92" s="15"/>
      <c r="AF92" s="15"/>
    </row>
    <row r="93" spans="1:32" ht="15" customHeight="1" x14ac:dyDescent="0.25">
      <c r="A93" s="214"/>
      <c r="B93" s="22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2"/>
      <c r="T93"/>
      <c r="U93" s="48">
        <f t="shared" si="1"/>
        <v>0</v>
      </c>
      <c r="V93" s="15"/>
      <c r="W93"/>
      <c r="Y93" s="15"/>
      <c r="Z93" s="15"/>
      <c r="AA93" s="15"/>
      <c r="AB93" s="15"/>
      <c r="AC93" s="15"/>
      <c r="AD93" s="15"/>
      <c r="AE93" s="15"/>
      <c r="AF93" s="15"/>
    </row>
    <row r="94" spans="1:32" s="4" customFormat="1" ht="15" customHeight="1" x14ac:dyDescent="0.25">
      <c r="A94" s="214"/>
      <c r="B94" s="22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2"/>
      <c r="T94"/>
      <c r="U94" s="48">
        <f t="shared" si="1"/>
        <v>0</v>
      </c>
      <c r="V94" s="17"/>
      <c r="W94"/>
      <c r="X94" s="45"/>
      <c r="Y94" s="17"/>
      <c r="Z94" s="17"/>
      <c r="AA94" s="17"/>
      <c r="AB94" s="17"/>
      <c r="AC94" s="17"/>
      <c r="AD94" s="17"/>
      <c r="AE94" s="17"/>
      <c r="AF94" s="17"/>
    </row>
    <row r="95" spans="1:32" s="4" customFormat="1" ht="15" customHeight="1" x14ac:dyDescent="0.25">
      <c r="A95" s="214"/>
      <c r="B95" s="22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2"/>
      <c r="T95"/>
      <c r="U95" s="48">
        <f t="shared" si="1"/>
        <v>0</v>
      </c>
      <c r="V95" s="17"/>
      <c r="W95"/>
      <c r="X95" s="46"/>
      <c r="Y95" s="17"/>
      <c r="Z95" s="17"/>
      <c r="AA95" s="17"/>
      <c r="AB95" s="17"/>
      <c r="AC95" s="17"/>
      <c r="AD95" s="17"/>
      <c r="AE95" s="17"/>
      <c r="AF95" s="17"/>
    </row>
    <row r="96" spans="1:32" s="4" customFormat="1" ht="15.75" thickBot="1" x14ac:dyDescent="0.3">
      <c r="A96" s="214"/>
      <c r="B96" s="23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2"/>
      <c r="T96"/>
      <c r="U96" s="48">
        <f t="shared" si="1"/>
        <v>0</v>
      </c>
      <c r="V96" s="17"/>
      <c r="W96"/>
      <c r="X96" s="45"/>
      <c r="Y96" s="17"/>
      <c r="Z96" s="17"/>
      <c r="AA96" s="17"/>
      <c r="AB96" s="17"/>
      <c r="AC96" s="17"/>
      <c r="AD96" s="17"/>
      <c r="AE96" s="17"/>
      <c r="AF96" s="17"/>
    </row>
    <row r="97" spans="1:32" x14ac:dyDescent="0.25">
      <c r="A97" s="214"/>
      <c r="B97" s="267" t="s">
        <v>0</v>
      </c>
      <c r="C97" s="268"/>
      <c r="D97" s="268"/>
      <c r="E97" s="268"/>
      <c r="F97" s="269"/>
      <c r="G97" s="270" t="s">
        <v>7</v>
      </c>
      <c r="H97" s="268"/>
      <c r="I97" s="268"/>
      <c r="J97" s="269"/>
      <c r="K97" s="270" t="s">
        <v>8</v>
      </c>
      <c r="L97" s="268"/>
      <c r="M97" s="268"/>
      <c r="N97" s="269"/>
      <c r="O97" s="270" t="s">
        <v>1</v>
      </c>
      <c r="P97" s="268"/>
      <c r="Q97" s="268"/>
      <c r="R97" s="268"/>
      <c r="S97" s="271"/>
      <c r="T97" s="16"/>
      <c r="U97" s="48">
        <f t="shared" si="1"/>
        <v>0</v>
      </c>
      <c r="V97" s="15"/>
      <c r="W97"/>
      <c r="Y97" s="15"/>
      <c r="Z97" s="15"/>
      <c r="AA97" s="15"/>
      <c r="AB97" s="15"/>
      <c r="AC97" s="15"/>
      <c r="AD97" s="15"/>
      <c r="AE97" s="15"/>
      <c r="AF97" s="15"/>
    </row>
    <row r="98" spans="1:32" ht="15" customHeight="1" x14ac:dyDescent="0.25">
      <c r="A98" s="214"/>
      <c r="B98" s="238">
        <f>$B$49</f>
        <v>0</v>
      </c>
      <c r="C98" s="239"/>
      <c r="D98" s="239"/>
      <c r="E98" s="239"/>
      <c r="F98" s="240"/>
      <c r="G98" s="244">
        <f>$G$49</f>
        <v>1</v>
      </c>
      <c r="H98" s="245"/>
      <c r="I98" s="245"/>
      <c r="J98" s="246"/>
      <c r="K98" s="250">
        <f>$K$49</f>
        <v>0</v>
      </c>
      <c r="L98" s="251"/>
      <c r="M98" s="251"/>
      <c r="N98" s="252"/>
      <c r="O98" s="256"/>
      <c r="P98" s="239"/>
      <c r="Q98" s="239"/>
      <c r="R98" s="239"/>
      <c r="S98" s="257"/>
      <c r="T98" s="16"/>
      <c r="U98" s="48">
        <f t="shared" si="1"/>
        <v>0</v>
      </c>
      <c r="V98" s="27"/>
      <c r="W98"/>
      <c r="Y98" s="27"/>
      <c r="Z98" s="27"/>
      <c r="AA98" s="27"/>
      <c r="AB98" s="27"/>
      <c r="AC98" s="27"/>
      <c r="AD98" s="27"/>
      <c r="AE98" s="27"/>
      <c r="AF98" s="27"/>
    </row>
    <row r="99" spans="1:32" ht="15" customHeight="1" thickBot="1" x14ac:dyDescent="0.3">
      <c r="A99" s="214"/>
      <c r="B99" s="241"/>
      <c r="C99" s="242"/>
      <c r="D99" s="242"/>
      <c r="E99" s="242"/>
      <c r="F99" s="243"/>
      <c r="G99" s="247"/>
      <c r="H99" s="248"/>
      <c r="I99" s="248"/>
      <c r="J99" s="249"/>
      <c r="K99" s="253"/>
      <c r="L99" s="254"/>
      <c r="M99" s="254"/>
      <c r="N99" s="255"/>
      <c r="O99" s="258"/>
      <c r="P99" s="242"/>
      <c r="Q99" s="242"/>
      <c r="R99" s="242"/>
      <c r="S99" s="259"/>
      <c r="T99" s="16"/>
      <c r="U99" s="48">
        <f t="shared" si="1"/>
        <v>0</v>
      </c>
      <c r="V99" s="15"/>
      <c r="W99"/>
      <c r="Y99" s="15"/>
      <c r="Z99" s="15"/>
      <c r="AA99" s="15"/>
      <c r="AB99" s="15"/>
      <c r="AC99" s="15"/>
      <c r="AD99" s="15"/>
      <c r="AE99" s="15"/>
      <c r="AF99" s="15"/>
    </row>
  </sheetData>
  <sheetProtection formatCells="0" formatColumns="0" formatRows="0" insertColumns="0" insertRows="0" insertHyperlinks="0" deleteColumns="0" deleteRows="0" selectLockedCells="1" sort="0" autoFilter="0" pivotTables="0"/>
  <mergeCells count="203">
    <mergeCell ref="C46:D46"/>
    <mergeCell ref="E46:G46"/>
    <mergeCell ref="H46:P46"/>
    <mergeCell ref="B49:F50"/>
    <mergeCell ref="G49:J50"/>
    <mergeCell ref="K49:N50"/>
    <mergeCell ref="O49:S50"/>
    <mergeCell ref="Q46:R46"/>
    <mergeCell ref="H37:P37"/>
    <mergeCell ref="C45:D45"/>
    <mergeCell ref="E45:G45"/>
    <mergeCell ref="H45:P45"/>
    <mergeCell ref="Q45:R45"/>
    <mergeCell ref="C42:D42"/>
    <mergeCell ref="E42:G42"/>
    <mergeCell ref="H42:P42"/>
    <mergeCell ref="Q42:R42"/>
    <mergeCell ref="C43:D43"/>
    <mergeCell ref="E43:G43"/>
    <mergeCell ref="H43:P43"/>
    <mergeCell ref="Q43:R43"/>
    <mergeCell ref="C44:D44"/>
    <mergeCell ref="E44:G44"/>
    <mergeCell ref="H44:P44"/>
    <mergeCell ref="E41:G41"/>
    <mergeCell ref="H41:P41"/>
    <mergeCell ref="Q41:R41"/>
    <mergeCell ref="C16:D16"/>
    <mergeCell ref="E16:G16"/>
    <mergeCell ref="H16:P16"/>
    <mergeCell ref="Q16:R16"/>
    <mergeCell ref="C40:D40"/>
    <mergeCell ref="E40:G40"/>
    <mergeCell ref="H40:P40"/>
    <mergeCell ref="Q40:R40"/>
    <mergeCell ref="E24:G24"/>
    <mergeCell ref="H24:P24"/>
    <mergeCell ref="Q24:R24"/>
    <mergeCell ref="C25:D25"/>
    <mergeCell ref="C38:D38"/>
    <mergeCell ref="E38:G38"/>
    <mergeCell ref="H38:P38"/>
    <mergeCell ref="Q38:R38"/>
    <mergeCell ref="C39:D39"/>
    <mergeCell ref="E39:G39"/>
    <mergeCell ref="H39:P39"/>
    <mergeCell ref="C28:D28"/>
    <mergeCell ref="C34:D34"/>
    <mergeCell ref="R2:S3"/>
    <mergeCell ref="C5:R5"/>
    <mergeCell ref="H21:P21"/>
    <mergeCell ref="Q21:R21"/>
    <mergeCell ref="C18:D18"/>
    <mergeCell ref="E18:G18"/>
    <mergeCell ref="H18:P18"/>
    <mergeCell ref="Q18:R18"/>
    <mergeCell ref="C19:D19"/>
    <mergeCell ref="E19:G19"/>
    <mergeCell ref="H19:P19"/>
    <mergeCell ref="Q19:R19"/>
    <mergeCell ref="C6:D6"/>
    <mergeCell ref="E6:G6"/>
    <mergeCell ref="H6:P6"/>
    <mergeCell ref="Q6:R6"/>
    <mergeCell ref="C7:D7"/>
    <mergeCell ref="C14:D14"/>
    <mergeCell ref="E14:G14"/>
    <mergeCell ref="H14:P14"/>
    <mergeCell ref="Q14:R14"/>
    <mergeCell ref="C15:D15"/>
    <mergeCell ref="Q8:R8"/>
    <mergeCell ref="C17:D17"/>
    <mergeCell ref="C9:D9"/>
    <mergeCell ref="E9:G9"/>
    <mergeCell ref="E15:G15"/>
    <mergeCell ref="E7:G7"/>
    <mergeCell ref="E21:G21"/>
    <mergeCell ref="C24:D24"/>
    <mergeCell ref="H32:P32"/>
    <mergeCell ref="C32:D32"/>
    <mergeCell ref="E32:G32"/>
    <mergeCell ref="H25:P25"/>
    <mergeCell ref="C26:D26"/>
    <mergeCell ref="E26:G26"/>
    <mergeCell ref="H26:P26"/>
    <mergeCell ref="E25:G25"/>
    <mergeCell ref="H11:P11"/>
    <mergeCell ref="C13:D13"/>
    <mergeCell ref="H9:P9"/>
    <mergeCell ref="H15:P15"/>
    <mergeCell ref="C22:D22"/>
    <mergeCell ref="E22:G22"/>
    <mergeCell ref="H22:P22"/>
    <mergeCell ref="C23:D23"/>
    <mergeCell ref="C8:D8"/>
    <mergeCell ref="E8:G8"/>
    <mergeCell ref="C29:D29"/>
    <mergeCell ref="C27:D27"/>
    <mergeCell ref="E27:G27"/>
    <mergeCell ref="H27:P27"/>
    <mergeCell ref="H33:P33"/>
    <mergeCell ref="Q33:R33"/>
    <mergeCell ref="C20:D20"/>
    <mergeCell ref="E20:G20"/>
    <mergeCell ref="E29:G29"/>
    <mergeCell ref="Q22:R22"/>
    <mergeCell ref="E23:G23"/>
    <mergeCell ref="H23:P23"/>
    <mergeCell ref="H17:P17"/>
    <mergeCell ref="Q17:R17"/>
    <mergeCell ref="E13:G13"/>
    <mergeCell ref="H13:P13"/>
    <mergeCell ref="Q13:R13"/>
    <mergeCell ref="C10:D10"/>
    <mergeCell ref="E10:G10"/>
    <mergeCell ref="H10:P10"/>
    <mergeCell ref="E11:G11"/>
    <mergeCell ref="X5:Y5"/>
    <mergeCell ref="H8:P8"/>
    <mergeCell ref="Q15:R15"/>
    <mergeCell ref="K48:N48"/>
    <mergeCell ref="B48:F48"/>
    <mergeCell ref="O48:S48"/>
    <mergeCell ref="H20:P20"/>
    <mergeCell ref="Q20:R20"/>
    <mergeCell ref="C21:D21"/>
    <mergeCell ref="Q11:R11"/>
    <mergeCell ref="C12:D12"/>
    <mergeCell ref="E12:G12"/>
    <mergeCell ref="H12:P12"/>
    <mergeCell ref="C11:D11"/>
    <mergeCell ref="Q44:R44"/>
    <mergeCell ref="C41:D41"/>
    <mergeCell ref="E34:G34"/>
    <mergeCell ref="H34:P34"/>
    <mergeCell ref="Q34:R34"/>
    <mergeCell ref="Q35:R35"/>
    <mergeCell ref="X6:Y6"/>
    <mergeCell ref="X7:Y7"/>
    <mergeCell ref="C33:D33"/>
    <mergeCell ref="E33:G33"/>
    <mergeCell ref="A51:A97"/>
    <mergeCell ref="E17:G17"/>
    <mergeCell ref="H29:P29"/>
    <mergeCell ref="X13:Y13"/>
    <mergeCell ref="Q39:R39"/>
    <mergeCell ref="T4:T50"/>
    <mergeCell ref="G48:J48"/>
    <mergeCell ref="C55:R64"/>
    <mergeCell ref="A98:A99"/>
    <mergeCell ref="B98:F99"/>
    <mergeCell ref="G98:J99"/>
    <mergeCell ref="K98:N99"/>
    <mergeCell ref="O98:S99"/>
    <mergeCell ref="C52:C53"/>
    <mergeCell ref="D52:O53"/>
    <mergeCell ref="P52:Q53"/>
    <mergeCell ref="R52:R53"/>
    <mergeCell ref="C54:R54"/>
    <mergeCell ref="B97:F97"/>
    <mergeCell ref="G97:J97"/>
    <mergeCell ref="K97:N97"/>
    <mergeCell ref="O97:S97"/>
    <mergeCell ref="Q23:R23"/>
    <mergeCell ref="X4:Y4"/>
    <mergeCell ref="Q7:R7"/>
    <mergeCell ref="Q27:R27"/>
    <mergeCell ref="Q32:R32"/>
    <mergeCell ref="Q29:R29"/>
    <mergeCell ref="Q25:R25"/>
    <mergeCell ref="Q26:R26"/>
    <mergeCell ref="Q12:R12"/>
    <mergeCell ref="Q9:R9"/>
    <mergeCell ref="X8:Y8"/>
    <mergeCell ref="X9:Y9"/>
    <mergeCell ref="X10:Y10"/>
    <mergeCell ref="X11:Y11"/>
    <mergeCell ref="X12:Y12"/>
    <mergeCell ref="Q10:R10"/>
    <mergeCell ref="B2:Q3"/>
    <mergeCell ref="A4:A50"/>
    <mergeCell ref="C30:D30"/>
    <mergeCell ref="E30:G30"/>
    <mergeCell ref="H30:P30"/>
    <mergeCell ref="Q30:R30"/>
    <mergeCell ref="C31:D31"/>
    <mergeCell ref="E31:G31"/>
    <mergeCell ref="H31:P31"/>
    <mergeCell ref="Q31:R31"/>
    <mergeCell ref="C36:D36"/>
    <mergeCell ref="E36:G36"/>
    <mergeCell ref="H36:P36"/>
    <mergeCell ref="Q36:R36"/>
    <mergeCell ref="C37:D37"/>
    <mergeCell ref="E37:G37"/>
    <mergeCell ref="E28:G28"/>
    <mergeCell ref="H28:P28"/>
    <mergeCell ref="Q28:R28"/>
    <mergeCell ref="Q37:R37"/>
    <mergeCell ref="C35:D35"/>
    <mergeCell ref="E35:G35"/>
    <mergeCell ref="H35:P35"/>
    <mergeCell ref="H7:P7"/>
  </mergeCells>
  <conditionalFormatting sqref="Q4:R4 Q47:R48 B98 G98 K98 O98 Q100:R1048576">
    <cfRule type="cellIs" dxfId="10" priority="248" operator="equal">
      <formula>0</formula>
    </cfRule>
  </conditionalFormatting>
  <conditionalFormatting sqref="R2">
    <cfRule type="containsText" dxfId="9" priority="240" operator="containsText" text="0">
      <formula>NOT(ISERROR(SEARCH("0",R2)))</formula>
    </cfRule>
  </conditionalFormatting>
  <conditionalFormatting sqref="R2:R3">
    <cfRule type="cellIs" dxfId="8" priority="239" operator="equal">
      <formula>0</formula>
    </cfRule>
  </conditionalFormatting>
  <conditionalFormatting sqref="Q51:R51">
    <cfRule type="cellIs" dxfId="7" priority="176" operator="equal">
      <formula>0</formula>
    </cfRule>
  </conditionalFormatting>
  <conditionalFormatting sqref="Q97:R97">
    <cfRule type="cellIs" dxfId="6" priority="174" operator="equal">
      <formula>0</formula>
    </cfRule>
  </conditionalFormatting>
  <conditionalFormatting sqref="Q6:R6">
    <cfRule type="cellIs" dxfId="5" priority="158" operator="equal">
      <formula>0</formula>
    </cfRule>
  </conditionalFormatting>
  <conditionalFormatting sqref="B98:F99">
    <cfRule type="cellIs" dxfId="4" priority="2" operator="equal">
      <formula>0</formula>
    </cfRule>
  </conditionalFormatting>
  <conditionalFormatting sqref="B49:F50 K49:S50">
    <cfRule type="cellIs" dxfId="3" priority="1" operator="equal">
      <formula>0</formula>
    </cfRule>
  </conditionalFormatting>
  <printOptions horizontalCentered="1" verticalCentered="1"/>
  <pageMargins left="0.19685039370078741" right="0.19685039370078741" top="0.78740157480314965" bottom="0.55118110236220474" header="0.31496062992125984" footer="0.31496062992125984"/>
  <pageSetup paperSize="9" orientation="portrait" r:id="rId1"/>
  <headerFooter>
    <oddHeader>&amp;L&amp;18Kontrolní instrukce (control instruction)
&amp;R&amp;G</oddHeader>
    <oddFooter>&amp;L&amp;8&amp;Z&amp;F&amp;R&amp;P/&amp;N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82" r:id="rId5" name="generujPDF">
          <controlPr defaultSize="0" autoLine="0" r:id="rId6">
            <anchor moveWithCells="1">
              <from>
                <xdr:col>0</xdr:col>
                <xdr:colOff>619125</xdr:colOff>
                <xdr:row>0</xdr:row>
                <xdr:rowOff>95250</xdr:rowOff>
              </from>
              <to>
                <xdr:col>0</xdr:col>
                <xdr:colOff>1695450</xdr:colOff>
                <xdr:row>0</xdr:row>
                <xdr:rowOff>542925</xdr:rowOff>
              </to>
            </anchor>
          </controlPr>
        </control>
      </mc:Choice>
      <mc:Fallback>
        <control shapeId="1082" r:id="rId5" name="generujPDF"/>
      </mc:Fallback>
    </mc:AlternateContent>
    <mc:AlternateContent xmlns:mc="http://schemas.openxmlformats.org/markup-compatibility/2006">
      <mc:Choice Requires="x14">
        <control shapeId="1080" r:id="rId7" name="ATRTlacitko">
          <controlPr defaultSize="0" autoLine="0" r:id="rId8">
            <anchor moveWithCells="1">
              <from>
                <xdr:col>0</xdr:col>
                <xdr:colOff>1781175</xdr:colOff>
                <xdr:row>0</xdr:row>
                <xdr:rowOff>95250</xdr:rowOff>
              </from>
              <to>
                <xdr:col>0</xdr:col>
                <xdr:colOff>2333625</xdr:colOff>
                <xdr:row>0</xdr:row>
                <xdr:rowOff>542925</xdr:rowOff>
              </to>
            </anchor>
          </controlPr>
        </control>
      </mc:Choice>
      <mc:Fallback>
        <control shapeId="1080" r:id="rId7" name="ATRTlacitko"/>
      </mc:Fallback>
    </mc:AlternateContent>
    <mc:AlternateContent xmlns:mc="http://schemas.openxmlformats.org/markup-compatibility/2006">
      <mc:Choice Requires="x14">
        <control shapeId="1074" r:id="rId9" name="smaz_format">
          <controlPr defaultSize="0" autoLine="0" r:id="rId10">
            <anchor moveWithCells="1">
              <from>
                <xdr:col>12</xdr:col>
                <xdr:colOff>314325</xdr:colOff>
                <xdr:row>0</xdr:row>
                <xdr:rowOff>123825</xdr:rowOff>
              </from>
              <to>
                <xdr:col>18</xdr:col>
                <xdr:colOff>28575</xdr:colOff>
                <xdr:row>0</xdr:row>
                <xdr:rowOff>485775</xdr:rowOff>
              </to>
            </anchor>
          </controlPr>
        </control>
      </mc:Choice>
      <mc:Fallback>
        <control shapeId="1074" r:id="rId9" name="smaz_format"/>
      </mc:Fallback>
    </mc:AlternateContent>
    <mc:AlternateContent xmlns:mc="http://schemas.openxmlformats.org/markup-compatibility/2006">
      <mc:Choice Requires="x14">
        <control shapeId="1072" r:id="rId11" name="novy_nadpis">
          <controlPr defaultSize="0" autoLine="0" r:id="rId12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4</xdr:col>
                <xdr:colOff>371475</xdr:colOff>
                <xdr:row>0</xdr:row>
                <xdr:rowOff>495300</xdr:rowOff>
              </to>
            </anchor>
          </controlPr>
        </control>
      </mc:Choice>
      <mc:Fallback>
        <control shapeId="1072" r:id="rId11" name="novy_nadpis"/>
      </mc:Fallback>
    </mc:AlternateContent>
    <mc:AlternateContent xmlns:mc="http://schemas.openxmlformats.org/markup-compatibility/2006">
      <mc:Choice Requires="x14">
        <control shapeId="1075" r:id="rId13" name="Vloz_pole">
          <controlPr defaultSize="0" autoLine="0" r:id="rId14">
            <anchor moveWithCells="1">
              <from>
                <xdr:col>5</xdr:col>
                <xdr:colOff>28575</xdr:colOff>
                <xdr:row>0</xdr:row>
                <xdr:rowOff>123825</xdr:rowOff>
              </from>
              <to>
                <xdr:col>8</xdr:col>
                <xdr:colOff>247650</xdr:colOff>
                <xdr:row>0</xdr:row>
                <xdr:rowOff>485775</xdr:rowOff>
              </to>
            </anchor>
          </controlPr>
        </control>
      </mc:Choice>
      <mc:Fallback>
        <control shapeId="1075" r:id="rId13" name="Vloz_pole"/>
      </mc:Fallback>
    </mc:AlternateContent>
    <mc:AlternateContent xmlns:mc="http://schemas.openxmlformats.org/markup-compatibility/2006">
      <mc:Choice Requires="x14">
        <control shapeId="1076" r:id="rId15" name="vloz_stranku_tl">
          <controlPr defaultSize="0" autoLine="0" r:id="rId16">
            <anchor moveWithCells="1">
              <from>
                <xdr:col>8</xdr:col>
                <xdr:colOff>285750</xdr:colOff>
                <xdr:row>0</xdr:row>
                <xdr:rowOff>123825</xdr:rowOff>
              </from>
              <to>
                <xdr:col>12</xdr:col>
                <xdr:colOff>95250</xdr:colOff>
                <xdr:row>0</xdr:row>
                <xdr:rowOff>485775</xdr:rowOff>
              </to>
            </anchor>
          </controlPr>
        </control>
      </mc:Choice>
      <mc:Fallback>
        <control shapeId="1076" r:id="rId15" name="vloz_stranku_tl"/>
      </mc:Fallback>
    </mc:AlternateContent>
    <mc:AlternateContent xmlns:mc="http://schemas.openxmlformats.org/markup-compatibility/2006">
      <mc:Choice Requires="x14">
        <control shapeId="1079" r:id="rId17" name="SPCKarta">
          <controlPr defaultSize="0" autoLine="0" autoPict="0" r:id="rId18">
            <anchor moveWithCells="1">
              <from>
                <xdr:col>23</xdr:col>
                <xdr:colOff>57150</xdr:colOff>
                <xdr:row>0</xdr:row>
                <xdr:rowOff>0</xdr:rowOff>
              </from>
              <to>
                <xdr:col>23</xdr:col>
                <xdr:colOff>1714500</xdr:colOff>
                <xdr:row>0</xdr:row>
                <xdr:rowOff>619125</xdr:rowOff>
              </to>
            </anchor>
          </controlPr>
        </control>
      </mc:Choice>
      <mc:Fallback>
        <control shapeId="1079" r:id="rId17" name="SPCKarta"/>
      </mc:Fallback>
    </mc:AlternateContent>
    <mc:AlternateContent xmlns:mc="http://schemas.openxmlformats.org/markup-compatibility/2006">
      <mc:Choice Requires="x14">
        <control shapeId="1083" r:id="rId19" name="VKZTlacitko">
          <controlPr defaultSize="0" autoLine="0" r:id="rId20">
            <anchor moveWithCells="1">
              <from>
                <xdr:col>0</xdr:col>
                <xdr:colOff>3048000</xdr:colOff>
                <xdr:row>0</xdr:row>
                <xdr:rowOff>95250</xdr:rowOff>
              </from>
              <to>
                <xdr:col>0</xdr:col>
                <xdr:colOff>3600450</xdr:colOff>
                <xdr:row>0</xdr:row>
                <xdr:rowOff>542925</xdr:rowOff>
              </to>
            </anchor>
          </controlPr>
        </control>
      </mc:Choice>
      <mc:Fallback>
        <control shapeId="1083" r:id="rId19" name="VKZTlacitko"/>
      </mc:Fallback>
    </mc:AlternateContent>
    <mc:AlternateContent xmlns:mc="http://schemas.openxmlformats.org/markup-compatibility/2006">
      <mc:Choice Requires="x14">
        <control shapeId="1084" r:id="rId21" name="AuditTlacitko">
          <controlPr defaultSize="0" autoLine="0" r:id="rId22">
            <anchor moveWithCells="1">
              <from>
                <xdr:col>0</xdr:col>
                <xdr:colOff>2419350</xdr:colOff>
                <xdr:row>0</xdr:row>
                <xdr:rowOff>95250</xdr:rowOff>
              </from>
              <to>
                <xdr:col>0</xdr:col>
                <xdr:colOff>2971800</xdr:colOff>
                <xdr:row>0</xdr:row>
                <xdr:rowOff>542925</xdr:rowOff>
              </to>
            </anchor>
          </controlPr>
        </control>
      </mc:Choice>
      <mc:Fallback>
        <control shapeId="1084" r:id="rId21" name="AuditTlacitk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B1:C14"/>
  <sheetViews>
    <sheetView workbookViewId="0">
      <selection activeCell="E20" sqref="E20:G20"/>
    </sheetView>
  </sheetViews>
  <sheetFormatPr defaultRowHeight="15" x14ac:dyDescent="0.25"/>
  <cols>
    <col min="2" max="2" width="9.140625" style="176"/>
    <col min="3" max="3" width="135.42578125" style="177" customWidth="1"/>
  </cols>
  <sheetData>
    <row r="1" spans="2:3" x14ac:dyDescent="0.25">
      <c r="B1" s="176" t="s">
        <v>102</v>
      </c>
      <c r="C1" s="177" t="s">
        <v>103</v>
      </c>
    </row>
    <row r="2" spans="2:3" x14ac:dyDescent="0.25">
      <c r="B2" s="176" t="s">
        <v>104</v>
      </c>
      <c r="C2" s="177" t="s">
        <v>105</v>
      </c>
    </row>
    <row r="3" spans="2:3" x14ac:dyDescent="0.25">
      <c r="B3" s="176" t="s">
        <v>104</v>
      </c>
      <c r="C3" s="177" t="s">
        <v>109</v>
      </c>
    </row>
    <row r="4" spans="2:3" x14ac:dyDescent="0.25">
      <c r="B4" s="176" t="s">
        <v>104</v>
      </c>
      <c r="C4" s="177" t="s">
        <v>110</v>
      </c>
    </row>
    <row r="5" spans="2:3" x14ac:dyDescent="0.25">
      <c r="B5" s="176" t="s">
        <v>106</v>
      </c>
      <c r="C5" s="177" t="s">
        <v>108</v>
      </c>
    </row>
    <row r="6" spans="2:3" x14ac:dyDescent="0.25">
      <c r="B6" s="176" t="s">
        <v>106</v>
      </c>
      <c r="C6" s="177" t="s">
        <v>107</v>
      </c>
    </row>
    <row r="7" spans="2:3" x14ac:dyDescent="0.25">
      <c r="B7" s="176" t="s">
        <v>111</v>
      </c>
      <c r="C7" s="177" t="s">
        <v>112</v>
      </c>
    </row>
    <row r="8" spans="2:3" x14ac:dyDescent="0.25">
      <c r="B8" s="176" t="s">
        <v>111</v>
      </c>
      <c r="C8" s="177" t="s">
        <v>113</v>
      </c>
    </row>
    <row r="9" spans="2:3" x14ac:dyDescent="0.25">
      <c r="B9" s="176" t="s">
        <v>115</v>
      </c>
      <c r="C9" s="177" t="s">
        <v>116</v>
      </c>
    </row>
    <row r="10" spans="2:3" x14ac:dyDescent="0.25">
      <c r="B10" s="176" t="s">
        <v>128</v>
      </c>
      <c r="C10" s="177" t="s">
        <v>129</v>
      </c>
    </row>
    <row r="11" spans="2:3" x14ac:dyDescent="0.25">
      <c r="B11" s="176" t="s">
        <v>133</v>
      </c>
      <c r="C11" s="177" t="s">
        <v>134</v>
      </c>
    </row>
    <row r="12" spans="2:3" x14ac:dyDescent="0.25">
      <c r="B12" s="176" t="s">
        <v>133</v>
      </c>
      <c r="C12" s="177" t="s">
        <v>136</v>
      </c>
    </row>
    <row r="13" spans="2:3" x14ac:dyDescent="0.25">
      <c r="B13" s="176" t="s">
        <v>137</v>
      </c>
      <c r="C13" s="177" t="s">
        <v>138</v>
      </c>
    </row>
    <row r="14" spans="2:3" x14ac:dyDescent="0.25">
      <c r="B14" s="176" t="s">
        <v>139</v>
      </c>
      <c r="C14" s="177" t="s">
        <v>140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AN81"/>
  <sheetViews>
    <sheetView view="pageBreakPreview" zoomScale="55" zoomScaleNormal="85" zoomScaleSheetLayoutView="55" workbookViewId="0">
      <selection activeCell="E20" sqref="E20:G20"/>
    </sheetView>
  </sheetViews>
  <sheetFormatPr defaultRowHeight="15" x14ac:dyDescent="0.25"/>
  <cols>
    <col min="1" max="1" width="7.85546875" style="50" customWidth="1"/>
    <col min="2" max="2" width="12.42578125" style="50" customWidth="1"/>
    <col min="3" max="3" width="11.28515625" style="50" customWidth="1"/>
    <col min="4" max="4" width="16.28515625" style="50" customWidth="1"/>
    <col min="5" max="5" width="35" style="50" customWidth="1"/>
    <col min="6" max="7" width="8.42578125" style="50" customWidth="1"/>
    <col min="8" max="8" width="8.5703125" style="50" customWidth="1"/>
    <col min="9" max="34" width="4.7109375" style="50" customWidth="1"/>
    <col min="35" max="35" width="3.42578125" style="50" customWidth="1"/>
    <col min="36" max="36" width="12.140625" style="50" customWidth="1"/>
    <col min="37" max="37" width="14.140625" style="50" customWidth="1"/>
    <col min="38" max="39" width="9.140625" style="50"/>
    <col min="40" max="40" width="9.140625" style="50" hidden="1" customWidth="1"/>
    <col min="41" max="16384" width="9.140625" style="50"/>
  </cols>
  <sheetData>
    <row r="1" spans="1:40" ht="10.5" customHeight="1" x14ac:dyDescent="0.25">
      <c r="A1" s="341" t="s">
        <v>20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3" t="s">
        <v>21</v>
      </c>
      <c r="R1" s="343"/>
      <c r="S1" s="343"/>
      <c r="T1" s="343"/>
      <c r="U1" s="343"/>
      <c r="V1" s="343"/>
      <c r="W1" s="343"/>
      <c r="X1" s="345" t="s">
        <v>22</v>
      </c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</row>
    <row r="2" spans="1:40" ht="16.5" customHeight="1" x14ac:dyDescent="0.25">
      <c r="A2" s="341"/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3"/>
      <c r="R2" s="343"/>
      <c r="S2" s="343"/>
      <c r="T2" s="343"/>
      <c r="U2" s="343"/>
      <c r="V2" s="343"/>
      <c r="W2" s="343"/>
      <c r="X2" s="345"/>
      <c r="Y2" s="345"/>
      <c r="Z2" s="345"/>
      <c r="AA2" s="345"/>
      <c r="AB2" s="345"/>
      <c r="AC2" s="345"/>
      <c r="AD2" s="345"/>
      <c r="AE2" s="345"/>
      <c r="AF2" s="345"/>
      <c r="AG2" s="345"/>
      <c r="AH2" s="345"/>
      <c r="AI2" s="345"/>
      <c r="AJ2" s="345"/>
      <c r="AK2" s="345"/>
    </row>
    <row r="3" spans="1:40" ht="12.75" customHeight="1" thickBot="1" x14ac:dyDescent="0.3">
      <c r="A3" s="342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4"/>
      <c r="R3" s="344"/>
      <c r="S3" s="344"/>
      <c r="T3" s="344"/>
      <c r="U3" s="344"/>
      <c r="V3" s="344"/>
      <c r="W3" s="344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  <c r="AK3" s="346"/>
    </row>
    <row r="4" spans="1:40" s="51" customFormat="1" ht="39.950000000000003" customHeight="1" x14ac:dyDescent="0.35">
      <c r="A4" s="347" t="s">
        <v>23</v>
      </c>
      <c r="B4" s="348"/>
      <c r="C4" s="348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8" t="s">
        <v>24</v>
      </c>
      <c r="O4" s="350"/>
      <c r="P4" s="350"/>
      <c r="Q4" s="350"/>
      <c r="R4" s="350"/>
      <c r="S4" s="351"/>
      <c r="T4" s="351"/>
      <c r="U4" s="351"/>
      <c r="V4" s="351"/>
      <c r="W4" s="352" t="s">
        <v>25</v>
      </c>
      <c r="X4" s="353"/>
      <c r="Y4" s="353"/>
      <c r="Z4" s="353"/>
      <c r="AA4" s="353"/>
      <c r="AB4" s="354"/>
      <c r="AC4" s="358" t="s">
        <v>83</v>
      </c>
      <c r="AD4" s="359"/>
      <c r="AE4" s="360"/>
      <c r="AF4" s="348" t="s">
        <v>27</v>
      </c>
      <c r="AG4" s="348"/>
      <c r="AH4" s="348"/>
      <c r="AI4" s="331"/>
      <c r="AJ4" s="331"/>
      <c r="AK4" s="332"/>
      <c r="AN4" s="52" t="s">
        <v>28</v>
      </c>
    </row>
    <row r="5" spans="1:40" s="51" customFormat="1" ht="39.950000000000003" customHeight="1" x14ac:dyDescent="0.25">
      <c r="A5" s="333" t="s">
        <v>29</v>
      </c>
      <c r="B5" s="334"/>
      <c r="C5" s="334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4" t="s">
        <v>30</v>
      </c>
      <c r="O5" s="336"/>
      <c r="P5" s="336"/>
      <c r="Q5" s="336"/>
      <c r="R5" s="336"/>
      <c r="S5" s="337">
        <f ca="1">(TODAY())</f>
        <v>44397</v>
      </c>
      <c r="T5" s="338"/>
      <c r="U5" s="338"/>
      <c r="V5" s="338"/>
      <c r="W5" s="355"/>
      <c r="X5" s="356"/>
      <c r="Y5" s="356"/>
      <c r="Z5" s="356"/>
      <c r="AA5" s="356"/>
      <c r="AB5" s="357"/>
      <c r="AC5" s="361"/>
      <c r="AD5" s="362"/>
      <c r="AE5" s="363"/>
      <c r="AF5" s="334" t="s">
        <v>31</v>
      </c>
      <c r="AG5" s="334"/>
      <c r="AH5" s="334"/>
      <c r="AI5" s="339"/>
      <c r="AJ5" s="339"/>
      <c r="AK5" s="340"/>
      <c r="AN5" s="51" t="s">
        <v>33</v>
      </c>
    </row>
    <row r="6" spans="1:40" s="51" customFormat="1" ht="39.950000000000003" customHeight="1" thickBot="1" x14ac:dyDescent="0.3">
      <c r="A6" s="378" t="s">
        <v>34</v>
      </c>
      <c r="B6" s="379"/>
      <c r="C6" s="53" t="s">
        <v>35</v>
      </c>
      <c r="D6" s="380" t="s">
        <v>36</v>
      </c>
      <c r="E6" s="380"/>
      <c r="F6" s="381" t="s">
        <v>37</v>
      </c>
      <c r="G6" s="381"/>
      <c r="H6" s="379"/>
      <c r="I6" s="54" t="s">
        <v>38</v>
      </c>
      <c r="J6" s="380">
        <v>5</v>
      </c>
      <c r="K6" s="380"/>
      <c r="L6" s="380"/>
      <c r="M6" s="380"/>
      <c r="N6" s="372" t="s">
        <v>39</v>
      </c>
      <c r="O6" s="382"/>
      <c r="P6" s="382"/>
      <c r="Q6" s="382"/>
      <c r="R6" s="382"/>
      <c r="S6" s="383"/>
      <c r="T6" s="383"/>
      <c r="U6" s="383"/>
      <c r="V6" s="383"/>
      <c r="W6" s="394" t="s">
        <v>40</v>
      </c>
      <c r="X6" s="395"/>
      <c r="Y6" s="396"/>
      <c r="Z6" s="397"/>
      <c r="AA6" s="398"/>
      <c r="AB6" s="398"/>
      <c r="AC6" s="398"/>
      <c r="AD6" s="398"/>
      <c r="AE6" s="399"/>
      <c r="AF6" s="372" t="s">
        <v>41</v>
      </c>
      <c r="AG6" s="372"/>
      <c r="AH6" s="372"/>
      <c r="AI6" s="383"/>
      <c r="AJ6" s="383"/>
      <c r="AK6" s="400"/>
      <c r="AN6" s="51" t="s">
        <v>26</v>
      </c>
    </row>
    <row r="7" spans="1:40" s="61" customFormat="1" ht="8.25" customHeight="1" thickBot="1" x14ac:dyDescent="0.3">
      <c r="A7" s="55"/>
      <c r="B7" s="55"/>
      <c r="C7" s="56"/>
      <c r="D7" s="57"/>
      <c r="E7" s="57"/>
      <c r="F7" s="58"/>
      <c r="G7" s="58"/>
      <c r="H7" s="58"/>
      <c r="I7" s="57"/>
      <c r="J7" s="57"/>
      <c r="K7" s="57"/>
      <c r="L7" s="57"/>
      <c r="M7" s="57"/>
      <c r="N7" s="55"/>
      <c r="O7" s="59"/>
      <c r="P7" s="59"/>
      <c r="Q7" s="59"/>
      <c r="R7" s="59"/>
      <c r="S7" s="56"/>
      <c r="T7" s="56"/>
      <c r="U7" s="56"/>
      <c r="V7" s="56"/>
      <c r="W7" s="59"/>
      <c r="X7" s="59"/>
      <c r="Y7" s="57"/>
      <c r="Z7" s="57"/>
      <c r="AA7" s="57"/>
      <c r="AB7" s="57"/>
      <c r="AC7" s="57"/>
      <c r="AD7" s="57"/>
      <c r="AE7" s="57"/>
      <c r="AF7" s="55"/>
      <c r="AG7" s="55"/>
      <c r="AH7" s="55"/>
      <c r="AI7" s="60"/>
      <c r="AJ7" s="60"/>
      <c r="AK7" s="60"/>
    </row>
    <row r="8" spans="1:40" s="62" customFormat="1" ht="35.25" customHeight="1" x14ac:dyDescent="0.25">
      <c r="A8" s="364" t="s">
        <v>98</v>
      </c>
      <c r="B8" s="384" t="s">
        <v>43</v>
      </c>
      <c r="C8" s="385"/>
      <c r="D8" s="385"/>
      <c r="E8" s="134" t="s">
        <v>82</v>
      </c>
      <c r="F8" s="388" t="s">
        <v>84</v>
      </c>
      <c r="G8" s="366" t="s">
        <v>44</v>
      </c>
      <c r="H8" s="367"/>
      <c r="I8" s="347" t="s">
        <v>45</v>
      </c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D8" s="348"/>
      <c r="AE8" s="348"/>
      <c r="AF8" s="348"/>
      <c r="AG8" s="348"/>
      <c r="AH8" s="370"/>
      <c r="AI8" s="374" t="s">
        <v>46</v>
      </c>
      <c r="AJ8" s="374"/>
      <c r="AK8" s="375"/>
    </row>
    <row r="9" spans="1:40" s="62" customFormat="1" ht="33.75" customHeight="1" thickBot="1" x14ac:dyDescent="0.3">
      <c r="A9" s="365"/>
      <c r="B9" s="386"/>
      <c r="C9" s="387"/>
      <c r="D9" s="387"/>
      <c r="E9" s="135" t="str">
        <f>MID(KI!B2,1,12)</f>
        <v>KI-xxx-xx-xx</v>
      </c>
      <c r="F9" s="389"/>
      <c r="G9" s="368"/>
      <c r="H9" s="369"/>
      <c r="I9" s="371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3"/>
      <c r="AI9" s="376" t="s">
        <v>47</v>
      </c>
      <c r="AJ9" s="377"/>
      <c r="AK9" s="63" t="s">
        <v>48</v>
      </c>
      <c r="AN9" s="62" t="s">
        <v>32</v>
      </c>
    </row>
    <row r="10" spans="1:40" s="62" customFormat="1" ht="21.95" customHeight="1" x14ac:dyDescent="0.25">
      <c r="A10" s="64">
        <v>1</v>
      </c>
      <c r="B10" s="401"/>
      <c r="C10" s="401"/>
      <c r="D10" s="401"/>
      <c r="E10" s="401"/>
      <c r="F10" s="136"/>
      <c r="G10" s="142"/>
      <c r="H10" s="143"/>
      <c r="I10" s="65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66"/>
      <c r="Z10" s="66"/>
      <c r="AA10" s="66"/>
      <c r="AB10" s="66"/>
      <c r="AC10" s="66"/>
      <c r="AD10" s="66"/>
      <c r="AE10" s="66"/>
      <c r="AF10" s="66"/>
      <c r="AG10" s="66"/>
      <c r="AH10" s="68"/>
      <c r="AI10" s="390"/>
      <c r="AJ10" s="391"/>
      <c r="AK10" s="69"/>
      <c r="AN10" s="62" t="s">
        <v>49</v>
      </c>
    </row>
    <row r="11" spans="1:40" s="62" customFormat="1" ht="21.95" customHeight="1" x14ac:dyDescent="0.25">
      <c r="A11" s="70" t="str">
        <f>IF(B11&lt;&gt;"",A10+1,"")</f>
        <v/>
      </c>
      <c r="B11" s="402"/>
      <c r="C11" s="402"/>
      <c r="D11" s="402"/>
      <c r="E11" s="402"/>
      <c r="F11" s="137"/>
      <c r="G11" s="141"/>
      <c r="H11" s="144"/>
      <c r="I11" s="71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3"/>
      <c r="Y11" s="72"/>
      <c r="Z11" s="72"/>
      <c r="AA11" s="72"/>
      <c r="AB11" s="72"/>
      <c r="AC11" s="72"/>
      <c r="AD11" s="72"/>
      <c r="AE11" s="72"/>
      <c r="AF11" s="72"/>
      <c r="AG11" s="72"/>
      <c r="AH11" s="74"/>
      <c r="AI11" s="392"/>
      <c r="AJ11" s="393"/>
      <c r="AK11" s="75"/>
      <c r="AN11" s="62" t="s">
        <v>50</v>
      </c>
    </row>
    <row r="12" spans="1:40" s="62" customFormat="1" ht="21.95" customHeight="1" x14ac:dyDescent="0.25">
      <c r="A12" s="70" t="str">
        <f t="shared" ref="A12:A28" si="0">IF(B12&lt;&gt;"",A11+1,"")</f>
        <v/>
      </c>
      <c r="B12" s="402"/>
      <c r="C12" s="402"/>
      <c r="D12" s="402"/>
      <c r="E12" s="402"/>
      <c r="F12" s="137"/>
      <c r="G12" s="141"/>
      <c r="H12" s="144"/>
      <c r="I12" s="71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3"/>
      <c r="Y12" s="72"/>
      <c r="Z12" s="72"/>
      <c r="AA12" s="72"/>
      <c r="AB12" s="72"/>
      <c r="AC12" s="72"/>
      <c r="AD12" s="72"/>
      <c r="AE12" s="72"/>
      <c r="AF12" s="72"/>
      <c r="AG12" s="72"/>
      <c r="AH12" s="74"/>
      <c r="AI12" s="392"/>
      <c r="AJ12" s="393"/>
      <c r="AK12" s="75"/>
      <c r="AN12" s="62" t="s">
        <v>51</v>
      </c>
    </row>
    <row r="13" spans="1:40" s="62" customFormat="1" ht="21.95" customHeight="1" x14ac:dyDescent="0.25">
      <c r="A13" s="70" t="str">
        <f t="shared" si="0"/>
        <v/>
      </c>
      <c r="B13" s="402"/>
      <c r="C13" s="402"/>
      <c r="D13" s="402"/>
      <c r="E13" s="402"/>
      <c r="F13" s="137"/>
      <c r="G13" s="141"/>
      <c r="H13" s="144"/>
      <c r="I13" s="71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3"/>
      <c r="Y13" s="72"/>
      <c r="Z13" s="72"/>
      <c r="AA13" s="72"/>
      <c r="AB13" s="72"/>
      <c r="AC13" s="72"/>
      <c r="AD13" s="72"/>
      <c r="AE13" s="72"/>
      <c r="AF13" s="72"/>
      <c r="AG13" s="72"/>
      <c r="AH13" s="74"/>
      <c r="AI13" s="392"/>
      <c r="AJ13" s="393"/>
      <c r="AK13" s="75"/>
    </row>
    <row r="14" spans="1:40" s="62" customFormat="1" ht="21.95" customHeight="1" x14ac:dyDescent="0.25">
      <c r="A14" s="70" t="str">
        <f t="shared" si="0"/>
        <v/>
      </c>
      <c r="B14" s="402"/>
      <c r="C14" s="402"/>
      <c r="D14" s="402"/>
      <c r="E14" s="402"/>
      <c r="F14" s="137"/>
      <c r="G14" s="141"/>
      <c r="H14" s="144"/>
      <c r="I14" s="71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3"/>
      <c r="Y14" s="72"/>
      <c r="Z14" s="72"/>
      <c r="AA14" s="72"/>
      <c r="AB14" s="72"/>
      <c r="AC14" s="72"/>
      <c r="AD14" s="72"/>
      <c r="AE14" s="72"/>
      <c r="AF14" s="72"/>
      <c r="AG14" s="72"/>
      <c r="AH14" s="74"/>
      <c r="AI14" s="392"/>
      <c r="AJ14" s="393"/>
      <c r="AK14" s="75"/>
    </row>
    <row r="15" spans="1:40" s="62" customFormat="1" ht="21.95" customHeight="1" x14ac:dyDescent="0.25">
      <c r="A15" s="70" t="str">
        <f t="shared" si="0"/>
        <v/>
      </c>
      <c r="B15" s="402"/>
      <c r="C15" s="402"/>
      <c r="D15" s="402"/>
      <c r="E15" s="402"/>
      <c r="F15" s="137"/>
      <c r="G15" s="141"/>
      <c r="H15" s="144"/>
      <c r="I15" s="71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3"/>
      <c r="Y15" s="72"/>
      <c r="Z15" s="72"/>
      <c r="AA15" s="72"/>
      <c r="AB15" s="72"/>
      <c r="AC15" s="72"/>
      <c r="AD15" s="72"/>
      <c r="AE15" s="72"/>
      <c r="AF15" s="72"/>
      <c r="AG15" s="72"/>
      <c r="AH15" s="74"/>
      <c r="AI15" s="392"/>
      <c r="AJ15" s="393"/>
      <c r="AK15" s="75"/>
    </row>
    <row r="16" spans="1:40" s="62" customFormat="1" ht="21.95" customHeight="1" x14ac:dyDescent="0.25">
      <c r="A16" s="70" t="str">
        <f t="shared" si="0"/>
        <v/>
      </c>
      <c r="B16" s="402"/>
      <c r="C16" s="402"/>
      <c r="D16" s="402"/>
      <c r="E16" s="402"/>
      <c r="F16" s="137"/>
      <c r="G16" s="141"/>
      <c r="H16" s="144"/>
      <c r="I16" s="71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3"/>
      <c r="Y16" s="72"/>
      <c r="Z16" s="72"/>
      <c r="AA16" s="72"/>
      <c r="AB16" s="72"/>
      <c r="AC16" s="72"/>
      <c r="AD16" s="72"/>
      <c r="AE16" s="72"/>
      <c r="AF16" s="72"/>
      <c r="AG16" s="72"/>
      <c r="AH16" s="74"/>
      <c r="AI16" s="392"/>
      <c r="AJ16" s="393"/>
      <c r="AK16" s="75"/>
    </row>
    <row r="17" spans="1:37" s="62" customFormat="1" ht="21.95" customHeight="1" x14ac:dyDescent="0.25">
      <c r="A17" s="70" t="str">
        <f t="shared" si="0"/>
        <v/>
      </c>
      <c r="B17" s="402"/>
      <c r="C17" s="402"/>
      <c r="D17" s="402"/>
      <c r="E17" s="402"/>
      <c r="F17" s="137"/>
      <c r="G17" s="141"/>
      <c r="H17" s="144"/>
      <c r="I17" s="71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3"/>
      <c r="Y17" s="72"/>
      <c r="Z17" s="72"/>
      <c r="AA17" s="72"/>
      <c r="AB17" s="72"/>
      <c r="AC17" s="72"/>
      <c r="AD17" s="72"/>
      <c r="AE17" s="72"/>
      <c r="AF17" s="72"/>
      <c r="AG17" s="72"/>
      <c r="AH17" s="74"/>
      <c r="AI17" s="392"/>
      <c r="AJ17" s="393"/>
      <c r="AK17" s="75"/>
    </row>
    <row r="18" spans="1:37" s="62" customFormat="1" ht="21.95" customHeight="1" x14ac:dyDescent="0.25">
      <c r="A18" s="70" t="str">
        <f t="shared" si="0"/>
        <v/>
      </c>
      <c r="B18" s="402"/>
      <c r="C18" s="402"/>
      <c r="D18" s="402"/>
      <c r="E18" s="402"/>
      <c r="F18" s="137"/>
      <c r="G18" s="141"/>
      <c r="H18" s="144"/>
      <c r="I18" s="71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3"/>
      <c r="Y18" s="72"/>
      <c r="Z18" s="72"/>
      <c r="AA18" s="72"/>
      <c r="AB18" s="72"/>
      <c r="AC18" s="72"/>
      <c r="AD18" s="72"/>
      <c r="AE18" s="72"/>
      <c r="AF18" s="72"/>
      <c r="AG18" s="72"/>
      <c r="AH18" s="74"/>
      <c r="AI18" s="392"/>
      <c r="AJ18" s="393"/>
      <c r="AK18" s="75"/>
    </row>
    <row r="19" spans="1:37" s="62" customFormat="1" ht="21.95" customHeight="1" x14ac:dyDescent="0.25">
      <c r="A19" s="70" t="str">
        <f t="shared" si="0"/>
        <v/>
      </c>
      <c r="B19" s="402"/>
      <c r="C19" s="402"/>
      <c r="D19" s="402"/>
      <c r="E19" s="402"/>
      <c r="F19" s="137"/>
      <c r="G19" s="141"/>
      <c r="H19" s="144"/>
      <c r="I19" s="71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3"/>
      <c r="Y19" s="72"/>
      <c r="Z19" s="72"/>
      <c r="AA19" s="72"/>
      <c r="AB19" s="72"/>
      <c r="AC19" s="72"/>
      <c r="AD19" s="72"/>
      <c r="AE19" s="72"/>
      <c r="AF19" s="72"/>
      <c r="AG19" s="72"/>
      <c r="AH19" s="74"/>
      <c r="AI19" s="392"/>
      <c r="AJ19" s="393"/>
      <c r="AK19" s="75"/>
    </row>
    <row r="20" spans="1:37" s="62" customFormat="1" ht="21.95" customHeight="1" x14ac:dyDescent="0.25">
      <c r="A20" s="70" t="str">
        <f t="shared" si="0"/>
        <v/>
      </c>
      <c r="B20" s="402"/>
      <c r="C20" s="402"/>
      <c r="D20" s="402"/>
      <c r="E20" s="402"/>
      <c r="F20" s="137"/>
      <c r="G20" s="141"/>
      <c r="H20" s="144"/>
      <c r="I20" s="71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3"/>
      <c r="Y20" s="72"/>
      <c r="Z20" s="72"/>
      <c r="AA20" s="72"/>
      <c r="AB20" s="72"/>
      <c r="AC20" s="72"/>
      <c r="AD20" s="72"/>
      <c r="AE20" s="72"/>
      <c r="AF20" s="72"/>
      <c r="AG20" s="72"/>
      <c r="AH20" s="74"/>
      <c r="AI20" s="392"/>
      <c r="AJ20" s="393"/>
      <c r="AK20" s="75"/>
    </row>
    <row r="21" spans="1:37" s="62" customFormat="1" ht="21.95" customHeight="1" x14ac:dyDescent="0.25">
      <c r="A21" s="70" t="str">
        <f t="shared" si="0"/>
        <v/>
      </c>
      <c r="B21" s="402"/>
      <c r="C21" s="402"/>
      <c r="D21" s="402"/>
      <c r="E21" s="402"/>
      <c r="F21" s="137"/>
      <c r="G21" s="141"/>
      <c r="H21" s="144"/>
      <c r="I21" s="71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3"/>
      <c r="Y21" s="72"/>
      <c r="Z21" s="72"/>
      <c r="AA21" s="72"/>
      <c r="AB21" s="72"/>
      <c r="AC21" s="72"/>
      <c r="AD21" s="72"/>
      <c r="AE21" s="72"/>
      <c r="AF21" s="72"/>
      <c r="AG21" s="72"/>
      <c r="AH21" s="74"/>
      <c r="AI21" s="392"/>
      <c r="AJ21" s="393"/>
      <c r="AK21" s="75"/>
    </row>
    <row r="22" spans="1:37" s="62" customFormat="1" ht="21.95" customHeight="1" x14ac:dyDescent="0.25">
      <c r="A22" s="70" t="str">
        <f t="shared" si="0"/>
        <v/>
      </c>
      <c r="B22" s="402"/>
      <c r="C22" s="402"/>
      <c r="D22" s="402"/>
      <c r="E22" s="402"/>
      <c r="F22" s="137"/>
      <c r="G22" s="141"/>
      <c r="H22" s="144"/>
      <c r="I22" s="71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3"/>
      <c r="Y22" s="72"/>
      <c r="Z22" s="72"/>
      <c r="AA22" s="72"/>
      <c r="AB22" s="72"/>
      <c r="AC22" s="72"/>
      <c r="AD22" s="72"/>
      <c r="AE22" s="72"/>
      <c r="AF22" s="72"/>
      <c r="AG22" s="72"/>
      <c r="AH22" s="74"/>
      <c r="AI22" s="392"/>
      <c r="AJ22" s="393"/>
      <c r="AK22" s="75"/>
    </row>
    <row r="23" spans="1:37" s="62" customFormat="1" ht="21.95" customHeight="1" x14ac:dyDescent="0.25">
      <c r="A23" s="70" t="str">
        <f t="shared" si="0"/>
        <v/>
      </c>
      <c r="B23" s="402"/>
      <c r="C23" s="402"/>
      <c r="D23" s="402"/>
      <c r="E23" s="402"/>
      <c r="F23" s="137"/>
      <c r="G23" s="141"/>
      <c r="H23" s="144"/>
      <c r="I23" s="71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3"/>
      <c r="Y23" s="72"/>
      <c r="Z23" s="72"/>
      <c r="AA23" s="72"/>
      <c r="AB23" s="72"/>
      <c r="AC23" s="72"/>
      <c r="AD23" s="72"/>
      <c r="AE23" s="72"/>
      <c r="AF23" s="72"/>
      <c r="AG23" s="72"/>
      <c r="AH23" s="74"/>
      <c r="AI23" s="392"/>
      <c r="AJ23" s="393"/>
      <c r="AK23" s="75"/>
    </row>
    <row r="24" spans="1:37" s="62" customFormat="1" ht="21.95" customHeight="1" x14ac:dyDescent="0.25">
      <c r="A24" s="70" t="str">
        <f t="shared" si="0"/>
        <v/>
      </c>
      <c r="B24" s="402"/>
      <c r="C24" s="402"/>
      <c r="D24" s="402"/>
      <c r="E24" s="402"/>
      <c r="F24" s="137"/>
      <c r="G24" s="141"/>
      <c r="H24" s="144"/>
      <c r="I24" s="71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3"/>
      <c r="Y24" s="72"/>
      <c r="Z24" s="72"/>
      <c r="AA24" s="72"/>
      <c r="AB24" s="72"/>
      <c r="AC24" s="72"/>
      <c r="AD24" s="72"/>
      <c r="AE24" s="72"/>
      <c r="AF24" s="72"/>
      <c r="AG24" s="72"/>
      <c r="AH24" s="74"/>
      <c r="AI24" s="392"/>
      <c r="AJ24" s="393"/>
      <c r="AK24" s="75"/>
    </row>
    <row r="25" spans="1:37" s="62" customFormat="1" ht="21.95" customHeight="1" x14ac:dyDescent="0.25">
      <c r="A25" s="70" t="str">
        <f t="shared" si="0"/>
        <v/>
      </c>
      <c r="B25" s="402"/>
      <c r="C25" s="402"/>
      <c r="D25" s="402"/>
      <c r="E25" s="402"/>
      <c r="F25" s="137"/>
      <c r="G25" s="141"/>
      <c r="H25" s="144"/>
      <c r="I25" s="71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3"/>
      <c r="Y25" s="72"/>
      <c r="Z25" s="72"/>
      <c r="AA25" s="72"/>
      <c r="AB25" s="72"/>
      <c r="AC25" s="72"/>
      <c r="AD25" s="72"/>
      <c r="AE25" s="72"/>
      <c r="AF25" s="72"/>
      <c r="AG25" s="72"/>
      <c r="AH25" s="74"/>
      <c r="AI25" s="392"/>
      <c r="AJ25" s="393"/>
      <c r="AK25" s="75"/>
    </row>
    <row r="26" spans="1:37" s="62" customFormat="1" ht="21.95" customHeight="1" x14ac:dyDescent="0.25">
      <c r="A26" s="70" t="str">
        <f t="shared" si="0"/>
        <v/>
      </c>
      <c r="B26" s="402"/>
      <c r="C26" s="402"/>
      <c r="D26" s="402"/>
      <c r="E26" s="402"/>
      <c r="F26" s="137"/>
      <c r="G26" s="141"/>
      <c r="H26" s="144"/>
      <c r="I26" s="71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3"/>
      <c r="Y26" s="72"/>
      <c r="Z26" s="72"/>
      <c r="AA26" s="72"/>
      <c r="AB26" s="72"/>
      <c r="AC26" s="72"/>
      <c r="AD26" s="72"/>
      <c r="AE26" s="72"/>
      <c r="AF26" s="72"/>
      <c r="AG26" s="72"/>
      <c r="AH26" s="74"/>
      <c r="AI26" s="392"/>
      <c r="AJ26" s="393"/>
      <c r="AK26" s="75"/>
    </row>
    <row r="27" spans="1:37" s="62" customFormat="1" ht="21.95" customHeight="1" x14ac:dyDescent="0.25">
      <c r="A27" s="70" t="str">
        <f t="shared" si="0"/>
        <v/>
      </c>
      <c r="B27" s="402"/>
      <c r="C27" s="402"/>
      <c r="D27" s="402"/>
      <c r="E27" s="402"/>
      <c r="F27" s="137"/>
      <c r="G27" s="141"/>
      <c r="H27" s="144"/>
      <c r="I27" s="71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3"/>
      <c r="Y27" s="72"/>
      <c r="Z27" s="72"/>
      <c r="AA27" s="72"/>
      <c r="AB27" s="72"/>
      <c r="AC27" s="72"/>
      <c r="AD27" s="72"/>
      <c r="AE27" s="72"/>
      <c r="AF27" s="72"/>
      <c r="AG27" s="72"/>
      <c r="AH27" s="74"/>
      <c r="AI27" s="392"/>
      <c r="AJ27" s="393"/>
      <c r="AK27" s="75"/>
    </row>
    <row r="28" spans="1:37" s="62" customFormat="1" ht="21.95" customHeight="1" x14ac:dyDescent="0.25">
      <c r="A28" s="70" t="str">
        <f t="shared" si="0"/>
        <v/>
      </c>
      <c r="B28" s="402"/>
      <c r="C28" s="402"/>
      <c r="D28" s="402"/>
      <c r="E28" s="402"/>
      <c r="F28" s="137"/>
      <c r="G28" s="141"/>
      <c r="H28" s="144"/>
      <c r="I28" s="71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3"/>
      <c r="Y28" s="72"/>
      <c r="Z28" s="72"/>
      <c r="AA28" s="72"/>
      <c r="AB28" s="72"/>
      <c r="AC28" s="72"/>
      <c r="AD28" s="72"/>
      <c r="AE28" s="72"/>
      <c r="AF28" s="72"/>
      <c r="AG28" s="72"/>
      <c r="AH28" s="74"/>
      <c r="AI28" s="392"/>
      <c r="AJ28" s="393"/>
      <c r="AK28" s="75"/>
    </row>
    <row r="29" spans="1:37" s="62" customFormat="1" ht="21.95" customHeight="1" thickBot="1" x14ac:dyDescent="0.3">
      <c r="A29" s="76" t="str">
        <f>IF(B29&lt;&gt;"",A28+1,"")</f>
        <v/>
      </c>
      <c r="B29" s="411"/>
      <c r="C29" s="411"/>
      <c r="D29" s="411"/>
      <c r="E29" s="411"/>
      <c r="F29" s="138"/>
      <c r="G29" s="145"/>
      <c r="H29" s="146"/>
      <c r="I29" s="77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9"/>
      <c r="Y29" s="78"/>
      <c r="Z29" s="78"/>
      <c r="AA29" s="78"/>
      <c r="AB29" s="78"/>
      <c r="AC29" s="78"/>
      <c r="AD29" s="78"/>
      <c r="AE29" s="78"/>
      <c r="AF29" s="78"/>
      <c r="AG29" s="78"/>
      <c r="AH29" s="80"/>
      <c r="AI29" s="403"/>
      <c r="AJ29" s="404"/>
      <c r="AK29" s="81"/>
    </row>
    <row r="30" spans="1:37" s="89" customFormat="1" ht="36" customHeight="1" x14ac:dyDescent="0.3">
      <c r="A30" s="405" t="s">
        <v>52</v>
      </c>
      <c r="B30" s="406"/>
      <c r="C30" s="406"/>
      <c r="D30" s="406"/>
      <c r="E30" s="406"/>
      <c r="F30" s="406"/>
      <c r="G30" s="406"/>
      <c r="H30" s="407"/>
      <c r="I30" s="82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4"/>
      <c r="Y30" s="83"/>
      <c r="Z30" s="83"/>
      <c r="AA30" s="83"/>
      <c r="AB30" s="83"/>
      <c r="AC30" s="83"/>
      <c r="AD30" s="83"/>
      <c r="AE30" s="83"/>
      <c r="AF30" s="83"/>
      <c r="AG30" s="83"/>
      <c r="AH30" s="85"/>
      <c r="AI30" s="86" t="s">
        <v>53</v>
      </c>
      <c r="AJ30" s="87"/>
      <c r="AK30" s="88"/>
    </row>
    <row r="31" spans="1:37" s="89" customFormat="1" ht="36" customHeight="1" x14ac:dyDescent="0.3">
      <c r="A31" s="408" t="s">
        <v>54</v>
      </c>
      <c r="B31" s="409"/>
      <c r="C31" s="409"/>
      <c r="D31" s="409"/>
      <c r="E31" s="409"/>
      <c r="F31" s="409"/>
      <c r="G31" s="409"/>
      <c r="H31" s="410"/>
      <c r="I31" s="90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2"/>
      <c r="Y31" s="91"/>
      <c r="Z31" s="91"/>
      <c r="AA31" s="91"/>
      <c r="AB31" s="91"/>
      <c r="AC31" s="91"/>
      <c r="AD31" s="91"/>
      <c r="AE31" s="91"/>
      <c r="AF31" s="91"/>
      <c r="AG31" s="91"/>
      <c r="AH31" s="93"/>
      <c r="AI31" s="94" t="s">
        <v>53</v>
      </c>
      <c r="AJ31" s="95"/>
      <c r="AK31" s="75"/>
    </row>
    <row r="32" spans="1:37" s="89" customFormat="1" ht="36" customHeight="1" thickBot="1" x14ac:dyDescent="0.35">
      <c r="A32" s="412" t="s">
        <v>55</v>
      </c>
      <c r="B32" s="413"/>
      <c r="C32" s="413"/>
      <c r="D32" s="413"/>
      <c r="E32" s="413"/>
      <c r="F32" s="413"/>
      <c r="G32" s="413"/>
      <c r="H32" s="414"/>
      <c r="I32" s="96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8"/>
      <c r="Y32" s="97"/>
      <c r="Z32" s="97"/>
      <c r="AA32" s="97"/>
      <c r="AB32" s="97"/>
      <c r="AC32" s="97"/>
      <c r="AD32" s="97"/>
      <c r="AE32" s="97"/>
      <c r="AF32" s="97"/>
      <c r="AG32" s="97"/>
      <c r="AH32" s="99"/>
      <c r="AI32" s="415"/>
      <c r="AJ32" s="416"/>
      <c r="AK32" s="100"/>
    </row>
    <row r="33" spans="1:37" s="62" customFormat="1" ht="9.9499999999999993" customHeight="1" x14ac:dyDescent="0.25">
      <c r="A33" s="417"/>
      <c r="B33" s="418"/>
      <c r="C33" s="418"/>
      <c r="D33" s="418"/>
      <c r="E33" s="419" t="s">
        <v>56</v>
      </c>
      <c r="F33" s="419"/>
      <c r="G33" s="420">
        <v>5</v>
      </c>
      <c r="H33" s="101"/>
      <c r="I33" s="102"/>
      <c r="J33" s="103"/>
      <c r="K33" s="103"/>
      <c r="L33" s="103"/>
      <c r="M33" s="103"/>
      <c r="N33" s="103"/>
      <c r="O33" s="103"/>
      <c r="P33" s="66"/>
      <c r="Q33" s="66"/>
      <c r="R33" s="66"/>
      <c r="S33" s="66"/>
      <c r="T33" s="66"/>
      <c r="U33" s="66"/>
      <c r="V33" s="66"/>
      <c r="W33" s="66"/>
      <c r="X33" s="67"/>
      <c r="Y33" s="66"/>
      <c r="Z33" s="66"/>
      <c r="AA33" s="66"/>
      <c r="AB33" s="66"/>
      <c r="AC33" s="66"/>
      <c r="AD33" s="66"/>
      <c r="AE33" s="66"/>
      <c r="AF33" s="66"/>
      <c r="AG33" s="66"/>
      <c r="AH33" s="68"/>
      <c r="AI33" s="421"/>
      <c r="AJ33" s="422"/>
      <c r="AK33" s="423"/>
    </row>
    <row r="34" spans="1:37" s="62" customFormat="1" ht="9.9499999999999993" customHeight="1" x14ac:dyDescent="0.25">
      <c r="A34" s="417"/>
      <c r="B34" s="418"/>
      <c r="C34" s="418"/>
      <c r="D34" s="418"/>
      <c r="E34" s="419"/>
      <c r="F34" s="419"/>
      <c r="G34" s="420"/>
      <c r="H34" s="104"/>
      <c r="I34" s="105"/>
      <c r="J34" s="106"/>
      <c r="K34" s="106"/>
      <c r="L34" s="106"/>
      <c r="M34" s="106"/>
      <c r="N34" s="106"/>
      <c r="O34" s="106"/>
      <c r="P34" s="72"/>
      <c r="Q34" s="72"/>
      <c r="R34" s="72"/>
      <c r="S34" s="72"/>
      <c r="T34" s="72"/>
      <c r="U34" s="72"/>
      <c r="V34" s="72"/>
      <c r="W34" s="72"/>
      <c r="X34" s="73"/>
      <c r="Y34" s="72"/>
      <c r="Z34" s="72"/>
      <c r="AA34" s="72"/>
      <c r="AB34" s="72"/>
      <c r="AC34" s="72"/>
      <c r="AD34" s="72"/>
      <c r="AE34" s="72"/>
      <c r="AF34" s="72"/>
      <c r="AG34" s="72"/>
      <c r="AH34" s="74"/>
      <c r="AI34" s="424"/>
      <c r="AJ34" s="425"/>
      <c r="AK34" s="426"/>
    </row>
    <row r="35" spans="1:37" s="62" customFormat="1" ht="9.9499999999999993" customHeight="1" x14ac:dyDescent="0.25">
      <c r="A35" s="417"/>
      <c r="B35" s="418"/>
      <c r="C35" s="418"/>
      <c r="D35" s="418"/>
      <c r="E35" s="419"/>
      <c r="F35" s="419"/>
      <c r="G35" s="420">
        <v>4</v>
      </c>
      <c r="H35" s="107"/>
      <c r="I35" s="105"/>
      <c r="J35" s="106"/>
      <c r="K35" s="106"/>
      <c r="L35" s="106"/>
      <c r="M35" s="106"/>
      <c r="N35" s="106"/>
      <c r="O35" s="106"/>
      <c r="P35" s="72"/>
      <c r="Q35" s="72"/>
      <c r="R35" s="72"/>
      <c r="S35" s="72"/>
      <c r="T35" s="72"/>
      <c r="U35" s="72"/>
      <c r="V35" s="72"/>
      <c r="W35" s="72"/>
      <c r="X35" s="73"/>
      <c r="Y35" s="72"/>
      <c r="Z35" s="72"/>
      <c r="AA35" s="72"/>
      <c r="AB35" s="72"/>
      <c r="AC35" s="72"/>
      <c r="AD35" s="72"/>
      <c r="AE35" s="72"/>
      <c r="AF35" s="72"/>
      <c r="AG35" s="72"/>
      <c r="AH35" s="74"/>
      <c r="AI35" s="424"/>
      <c r="AJ35" s="425"/>
      <c r="AK35" s="426"/>
    </row>
    <row r="36" spans="1:37" s="62" customFormat="1" ht="9.9499999999999993" customHeight="1" x14ac:dyDescent="0.25">
      <c r="A36" s="417"/>
      <c r="B36" s="418"/>
      <c r="C36" s="418"/>
      <c r="D36" s="418"/>
      <c r="E36" s="419"/>
      <c r="F36" s="419"/>
      <c r="G36" s="420"/>
      <c r="H36" s="104"/>
      <c r="I36" s="105"/>
      <c r="J36" s="106"/>
      <c r="K36" s="106"/>
      <c r="L36" s="106"/>
      <c r="M36" s="106"/>
      <c r="N36" s="106"/>
      <c r="O36" s="106"/>
      <c r="P36" s="72"/>
      <c r="Q36" s="72"/>
      <c r="R36" s="72"/>
      <c r="S36" s="72"/>
      <c r="T36" s="72"/>
      <c r="U36" s="72"/>
      <c r="V36" s="72"/>
      <c r="W36" s="72"/>
      <c r="X36" s="73"/>
      <c r="Y36" s="72"/>
      <c r="Z36" s="72"/>
      <c r="AA36" s="72"/>
      <c r="AB36" s="72"/>
      <c r="AC36" s="72"/>
      <c r="AD36" s="72"/>
      <c r="AE36" s="72"/>
      <c r="AF36" s="72"/>
      <c r="AG36" s="72"/>
      <c r="AH36" s="74"/>
      <c r="AI36" s="424"/>
      <c r="AJ36" s="425"/>
      <c r="AK36" s="426"/>
    </row>
    <row r="37" spans="1:37" s="62" customFormat="1" ht="9.9499999999999993" customHeight="1" x14ac:dyDescent="0.25">
      <c r="A37" s="417"/>
      <c r="B37" s="418"/>
      <c r="C37" s="418"/>
      <c r="D37" s="418"/>
      <c r="E37" s="430" t="s">
        <v>57</v>
      </c>
      <c r="F37" s="430"/>
      <c r="G37" s="420">
        <v>3</v>
      </c>
      <c r="H37" s="107"/>
      <c r="I37" s="105"/>
      <c r="J37" s="106"/>
      <c r="K37" s="106"/>
      <c r="L37" s="106"/>
      <c r="M37" s="106"/>
      <c r="N37" s="106"/>
      <c r="O37" s="106"/>
      <c r="P37" s="72"/>
      <c r="Q37" s="72"/>
      <c r="R37" s="72"/>
      <c r="S37" s="72"/>
      <c r="T37" s="72"/>
      <c r="U37" s="72"/>
      <c r="V37" s="72"/>
      <c r="W37" s="72"/>
      <c r="X37" s="73"/>
      <c r="Y37" s="72"/>
      <c r="Z37" s="72"/>
      <c r="AA37" s="72"/>
      <c r="AB37" s="72"/>
      <c r="AC37" s="72"/>
      <c r="AD37" s="72"/>
      <c r="AE37" s="72"/>
      <c r="AF37" s="72"/>
      <c r="AG37" s="72"/>
      <c r="AH37" s="74"/>
      <c r="AI37" s="424"/>
      <c r="AJ37" s="425"/>
      <c r="AK37" s="426"/>
    </row>
    <row r="38" spans="1:37" s="62" customFormat="1" ht="9.9499999999999993" customHeight="1" x14ac:dyDescent="0.25">
      <c r="A38" s="417"/>
      <c r="B38" s="418"/>
      <c r="C38" s="418"/>
      <c r="D38" s="418"/>
      <c r="E38" s="430"/>
      <c r="F38" s="430"/>
      <c r="G38" s="420"/>
      <c r="H38" s="104"/>
      <c r="I38" s="105"/>
      <c r="J38" s="106"/>
      <c r="K38" s="106"/>
      <c r="L38" s="106"/>
      <c r="M38" s="106"/>
      <c r="N38" s="106"/>
      <c r="O38" s="106"/>
      <c r="P38" s="72"/>
      <c r="Q38" s="72"/>
      <c r="R38" s="72"/>
      <c r="S38" s="72"/>
      <c r="T38" s="72"/>
      <c r="U38" s="72"/>
      <c r="V38" s="72"/>
      <c r="W38" s="72"/>
      <c r="X38" s="73"/>
      <c r="Y38" s="72"/>
      <c r="Z38" s="72"/>
      <c r="AA38" s="72"/>
      <c r="AB38" s="72"/>
      <c r="AC38" s="72"/>
      <c r="AD38" s="72"/>
      <c r="AE38" s="72"/>
      <c r="AF38" s="72"/>
      <c r="AG38" s="72"/>
      <c r="AH38" s="74"/>
      <c r="AI38" s="424"/>
      <c r="AJ38" s="425"/>
      <c r="AK38" s="426"/>
    </row>
    <row r="39" spans="1:37" s="62" customFormat="1" ht="9.9499999999999993" customHeight="1" thickBot="1" x14ac:dyDescent="0.3">
      <c r="A39" s="417"/>
      <c r="B39" s="418"/>
      <c r="C39" s="418"/>
      <c r="D39" s="418"/>
      <c r="E39" s="430"/>
      <c r="F39" s="430"/>
      <c r="G39" s="420">
        <v>2</v>
      </c>
      <c r="H39" s="107"/>
      <c r="I39" s="105"/>
      <c r="J39" s="106"/>
      <c r="K39" s="106"/>
      <c r="L39" s="106"/>
      <c r="M39" s="106"/>
      <c r="N39" s="106"/>
      <c r="O39" s="106"/>
      <c r="P39" s="72"/>
      <c r="Q39" s="72"/>
      <c r="R39" s="72"/>
      <c r="S39" s="72"/>
      <c r="T39" s="72"/>
      <c r="U39" s="72"/>
      <c r="V39" s="72"/>
      <c r="W39" s="72"/>
      <c r="X39" s="73"/>
      <c r="Y39" s="72"/>
      <c r="Z39" s="72"/>
      <c r="AA39" s="72"/>
      <c r="AB39" s="72"/>
      <c r="AC39" s="72"/>
      <c r="AD39" s="72"/>
      <c r="AE39" s="72"/>
      <c r="AF39" s="72"/>
      <c r="AG39" s="72"/>
      <c r="AH39" s="74"/>
      <c r="AI39" s="427"/>
      <c r="AJ39" s="428"/>
      <c r="AK39" s="429"/>
    </row>
    <row r="40" spans="1:37" s="62" customFormat="1" ht="9.9499999999999993" customHeight="1" x14ac:dyDescent="0.25">
      <c r="A40" s="451" t="s">
        <v>58</v>
      </c>
      <c r="B40" s="453"/>
      <c r="C40" s="454"/>
      <c r="D40" s="455"/>
      <c r="E40" s="430"/>
      <c r="F40" s="430"/>
      <c r="G40" s="420"/>
      <c r="H40" s="104"/>
      <c r="I40" s="105"/>
      <c r="J40" s="106"/>
      <c r="K40" s="106"/>
      <c r="L40" s="106"/>
      <c r="M40" s="106"/>
      <c r="N40" s="106"/>
      <c r="O40" s="106"/>
      <c r="P40" s="72"/>
      <c r="Q40" s="72"/>
      <c r="R40" s="72"/>
      <c r="S40" s="72"/>
      <c r="T40" s="72"/>
      <c r="U40" s="72"/>
      <c r="V40" s="72"/>
      <c r="W40" s="72"/>
      <c r="X40" s="73"/>
      <c r="Y40" s="72"/>
      <c r="Z40" s="72"/>
      <c r="AA40" s="72"/>
      <c r="AB40" s="72"/>
      <c r="AC40" s="72"/>
      <c r="AD40" s="72"/>
      <c r="AE40" s="72"/>
      <c r="AF40" s="72"/>
      <c r="AG40" s="72"/>
      <c r="AH40" s="74"/>
      <c r="AI40" s="452" t="s">
        <v>59</v>
      </c>
      <c r="AJ40" s="459"/>
      <c r="AK40" s="431"/>
    </row>
    <row r="41" spans="1:37" s="62" customFormat="1" ht="9.9499999999999993" customHeight="1" x14ac:dyDescent="0.25">
      <c r="A41" s="452"/>
      <c r="B41" s="456"/>
      <c r="C41" s="457"/>
      <c r="D41" s="458"/>
      <c r="E41" s="430"/>
      <c r="F41" s="430"/>
      <c r="G41" s="420">
        <v>1</v>
      </c>
      <c r="H41" s="107"/>
      <c r="I41" s="105"/>
      <c r="J41" s="106"/>
      <c r="K41" s="106"/>
      <c r="L41" s="106"/>
      <c r="M41" s="106"/>
      <c r="N41" s="106"/>
      <c r="O41" s="106"/>
      <c r="P41" s="72"/>
      <c r="Q41" s="72"/>
      <c r="R41" s="72"/>
      <c r="S41" s="72"/>
      <c r="T41" s="72"/>
      <c r="U41" s="72"/>
      <c r="V41" s="72"/>
      <c r="W41" s="72"/>
      <c r="X41" s="73"/>
      <c r="Y41" s="72"/>
      <c r="Z41" s="72"/>
      <c r="AA41" s="72"/>
      <c r="AB41" s="72"/>
      <c r="AC41" s="72"/>
      <c r="AD41" s="72"/>
      <c r="AE41" s="72"/>
      <c r="AF41" s="72"/>
      <c r="AG41" s="72"/>
      <c r="AH41" s="74"/>
      <c r="AI41" s="452"/>
      <c r="AJ41" s="459"/>
      <c r="AK41" s="431"/>
    </row>
    <row r="42" spans="1:37" s="62" customFormat="1" ht="9.9499999999999993" customHeight="1" x14ac:dyDescent="0.25">
      <c r="A42" s="452"/>
      <c r="B42" s="456"/>
      <c r="C42" s="457"/>
      <c r="D42" s="458"/>
      <c r="E42" s="418"/>
      <c r="F42" s="418"/>
      <c r="G42" s="420"/>
      <c r="H42" s="104"/>
      <c r="I42" s="105"/>
      <c r="J42" s="106"/>
      <c r="K42" s="106"/>
      <c r="L42" s="106"/>
      <c r="M42" s="106"/>
      <c r="N42" s="106"/>
      <c r="O42" s="106"/>
      <c r="P42" s="72"/>
      <c r="Q42" s="72"/>
      <c r="R42" s="72"/>
      <c r="S42" s="72"/>
      <c r="T42" s="72"/>
      <c r="U42" s="72"/>
      <c r="V42" s="72"/>
      <c r="W42" s="72"/>
      <c r="X42" s="73"/>
      <c r="Y42" s="72"/>
      <c r="Z42" s="72"/>
      <c r="AA42" s="72"/>
      <c r="AB42" s="72"/>
      <c r="AC42" s="72"/>
      <c r="AD42" s="72"/>
      <c r="AE42" s="72"/>
      <c r="AF42" s="72"/>
      <c r="AG42" s="72"/>
      <c r="AH42" s="74"/>
      <c r="AI42" s="452"/>
      <c r="AJ42" s="459"/>
      <c r="AK42" s="431"/>
    </row>
    <row r="43" spans="1:37" s="62" customFormat="1" ht="9.9499999999999993" customHeight="1" x14ac:dyDescent="0.25">
      <c r="A43" s="452" t="s">
        <v>60</v>
      </c>
      <c r="B43" s="456"/>
      <c r="C43" s="457"/>
      <c r="D43" s="458"/>
      <c r="E43" s="418"/>
      <c r="F43" s="418"/>
      <c r="G43" s="420">
        <v>0</v>
      </c>
      <c r="H43" s="107"/>
      <c r="I43" s="105"/>
      <c r="J43" s="106"/>
      <c r="K43" s="106"/>
      <c r="L43" s="106"/>
      <c r="M43" s="106"/>
      <c r="N43" s="106"/>
      <c r="O43" s="106"/>
      <c r="P43" s="72"/>
      <c r="Q43" s="72"/>
      <c r="R43" s="72"/>
      <c r="S43" s="72"/>
      <c r="T43" s="72"/>
      <c r="U43" s="72"/>
      <c r="V43" s="72"/>
      <c r="W43" s="72"/>
      <c r="X43" s="73"/>
      <c r="Y43" s="72"/>
      <c r="Z43" s="72"/>
      <c r="AA43" s="72"/>
      <c r="AB43" s="72"/>
      <c r="AC43" s="72"/>
      <c r="AD43" s="72"/>
      <c r="AE43" s="72"/>
      <c r="AF43" s="72"/>
      <c r="AG43" s="72"/>
      <c r="AH43" s="74"/>
      <c r="AI43" s="452" t="s">
        <v>61</v>
      </c>
      <c r="AJ43" s="459"/>
      <c r="AK43" s="431"/>
    </row>
    <row r="44" spans="1:37" s="62" customFormat="1" ht="9.9499999999999993" customHeight="1" x14ac:dyDescent="0.25">
      <c r="A44" s="452"/>
      <c r="B44" s="456"/>
      <c r="C44" s="457"/>
      <c r="D44" s="458"/>
      <c r="E44" s="418"/>
      <c r="F44" s="418"/>
      <c r="G44" s="420"/>
      <c r="H44" s="104"/>
      <c r="I44" s="105"/>
      <c r="J44" s="106"/>
      <c r="K44" s="106"/>
      <c r="L44" s="106"/>
      <c r="M44" s="106"/>
      <c r="N44" s="106"/>
      <c r="O44" s="106"/>
      <c r="P44" s="72"/>
      <c r="Q44" s="72"/>
      <c r="R44" s="72"/>
      <c r="S44" s="72"/>
      <c r="T44" s="72"/>
      <c r="U44" s="72"/>
      <c r="V44" s="72"/>
      <c r="W44" s="72"/>
      <c r="X44" s="73"/>
      <c r="Y44" s="72"/>
      <c r="Z44" s="72"/>
      <c r="AA44" s="72"/>
      <c r="AB44" s="72"/>
      <c r="AC44" s="72"/>
      <c r="AD44" s="72"/>
      <c r="AE44" s="72"/>
      <c r="AF44" s="72"/>
      <c r="AG44" s="72"/>
      <c r="AH44" s="74"/>
      <c r="AI44" s="452"/>
      <c r="AJ44" s="459"/>
      <c r="AK44" s="431"/>
    </row>
    <row r="45" spans="1:37" s="62" customFormat="1" ht="9.9499999999999993" customHeight="1" thickBot="1" x14ac:dyDescent="0.3">
      <c r="A45" s="460"/>
      <c r="B45" s="461"/>
      <c r="C45" s="462"/>
      <c r="D45" s="463"/>
      <c r="E45" s="418"/>
      <c r="F45" s="418"/>
      <c r="G45" s="108"/>
      <c r="H45" s="104"/>
      <c r="I45" s="109"/>
      <c r="J45" s="110"/>
      <c r="K45" s="110"/>
      <c r="L45" s="110"/>
      <c r="M45" s="110"/>
      <c r="N45" s="110"/>
      <c r="O45" s="110"/>
      <c r="P45" s="111"/>
      <c r="Q45" s="111"/>
      <c r="R45" s="111"/>
      <c r="S45" s="111"/>
      <c r="T45" s="111"/>
      <c r="U45" s="111"/>
      <c r="V45" s="111"/>
      <c r="W45" s="111"/>
      <c r="X45" s="112"/>
      <c r="Y45" s="111"/>
      <c r="Z45" s="111"/>
      <c r="AA45" s="111"/>
      <c r="AB45" s="111"/>
      <c r="AC45" s="111"/>
      <c r="AD45" s="111"/>
      <c r="AE45" s="111"/>
      <c r="AF45" s="111"/>
      <c r="AG45" s="111"/>
      <c r="AH45" s="113"/>
      <c r="AI45" s="452"/>
      <c r="AJ45" s="459"/>
      <c r="AK45" s="431"/>
    </row>
    <row r="46" spans="1:37" s="51" customFormat="1" ht="39.950000000000003" customHeight="1" x14ac:dyDescent="0.25">
      <c r="A46" s="432" t="s">
        <v>62</v>
      </c>
      <c r="B46" s="433"/>
      <c r="C46" s="433"/>
      <c r="D46" s="433"/>
      <c r="E46" s="433"/>
      <c r="F46" s="433"/>
      <c r="G46" s="433"/>
      <c r="H46" s="434"/>
      <c r="I46" s="114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6"/>
      <c r="Y46" s="115"/>
      <c r="Z46" s="115"/>
      <c r="AA46" s="115"/>
      <c r="AB46" s="115"/>
      <c r="AC46" s="115"/>
      <c r="AD46" s="115"/>
      <c r="AE46" s="115"/>
      <c r="AF46" s="115"/>
      <c r="AG46" s="115"/>
      <c r="AH46" s="117"/>
      <c r="AI46" s="435"/>
      <c r="AJ46" s="436"/>
      <c r="AK46" s="437"/>
    </row>
    <row r="47" spans="1:37" s="51" customFormat="1" ht="39.950000000000003" customHeight="1" x14ac:dyDescent="0.25">
      <c r="A47" s="444" t="s">
        <v>63</v>
      </c>
      <c r="B47" s="445"/>
      <c r="C47" s="445"/>
      <c r="D47" s="445"/>
      <c r="E47" s="445"/>
      <c r="F47" s="445"/>
      <c r="G47" s="445"/>
      <c r="H47" s="446"/>
      <c r="I47" s="118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20"/>
      <c r="Y47" s="119"/>
      <c r="Z47" s="119"/>
      <c r="AA47" s="119"/>
      <c r="AB47" s="119"/>
      <c r="AC47" s="119"/>
      <c r="AD47" s="119"/>
      <c r="AE47" s="119"/>
      <c r="AF47" s="119"/>
      <c r="AG47" s="119"/>
      <c r="AH47" s="121"/>
      <c r="AI47" s="438"/>
      <c r="AJ47" s="439"/>
      <c r="AK47" s="440"/>
    </row>
    <row r="48" spans="1:37" s="51" customFormat="1" ht="39.950000000000003" customHeight="1" thickBot="1" x14ac:dyDescent="0.3">
      <c r="A48" s="447" t="s">
        <v>64</v>
      </c>
      <c r="B48" s="448"/>
      <c r="C48" s="448"/>
      <c r="D48" s="448"/>
      <c r="E48" s="448"/>
      <c r="F48" s="448"/>
      <c r="G48" s="448"/>
      <c r="H48" s="449"/>
      <c r="I48" s="122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4"/>
      <c r="Y48" s="123"/>
      <c r="Z48" s="123"/>
      <c r="AA48" s="123"/>
      <c r="AB48" s="123"/>
      <c r="AC48" s="123"/>
      <c r="AD48" s="123"/>
      <c r="AE48" s="123"/>
      <c r="AF48" s="123"/>
      <c r="AG48" s="123"/>
      <c r="AH48" s="125"/>
      <c r="AI48" s="441"/>
      <c r="AJ48" s="442"/>
      <c r="AK48" s="443"/>
    </row>
    <row r="49" spans="1:37" ht="15.75" thickBot="1" x14ac:dyDescent="0.3">
      <c r="W49" s="126"/>
      <c r="AF49" s="450"/>
      <c r="AG49" s="450"/>
      <c r="AH49" s="450"/>
      <c r="AI49" s="127"/>
      <c r="AJ49" s="152"/>
      <c r="AK49" s="169" t="s">
        <v>96</v>
      </c>
    </row>
    <row r="50" spans="1:37" s="130" customFormat="1" ht="39.950000000000003" customHeight="1" x14ac:dyDescent="0.35">
      <c r="A50" s="347" t="s">
        <v>65</v>
      </c>
      <c r="B50" s="467"/>
      <c r="C50" s="128" t="s">
        <v>66</v>
      </c>
      <c r="D50" s="129" t="s">
        <v>67</v>
      </c>
      <c r="E50" s="467" t="s">
        <v>68</v>
      </c>
      <c r="F50" s="467"/>
      <c r="G50" s="467" t="s">
        <v>69</v>
      </c>
      <c r="H50" s="467"/>
      <c r="I50" s="467"/>
      <c r="J50" s="467"/>
      <c r="K50" s="467"/>
      <c r="L50" s="467"/>
      <c r="M50" s="467"/>
      <c r="N50" s="467"/>
      <c r="O50" s="467"/>
      <c r="P50" s="467"/>
      <c r="Q50" s="467"/>
      <c r="R50" s="467"/>
      <c r="S50" s="467"/>
      <c r="T50" s="467"/>
      <c r="U50" s="467"/>
      <c r="V50" s="467"/>
      <c r="W50" s="467"/>
      <c r="X50" s="467"/>
      <c r="Y50" s="467"/>
      <c r="Z50" s="467"/>
      <c r="AA50" s="467"/>
      <c r="AB50" s="467"/>
      <c r="AC50" s="467"/>
      <c r="AD50" s="467"/>
      <c r="AE50" s="467"/>
      <c r="AF50" s="467"/>
      <c r="AG50" s="467"/>
      <c r="AH50" s="467"/>
      <c r="AI50" s="467"/>
      <c r="AJ50" s="467"/>
      <c r="AK50" s="468"/>
    </row>
    <row r="51" spans="1:37" s="62" customFormat="1" ht="33" customHeight="1" x14ac:dyDescent="0.25">
      <c r="A51" s="464"/>
      <c r="B51" s="393"/>
      <c r="C51" s="131"/>
      <c r="D51" s="131"/>
      <c r="E51" s="393"/>
      <c r="F51" s="393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465"/>
      <c r="Z51" s="465"/>
      <c r="AA51" s="465"/>
      <c r="AB51" s="465"/>
      <c r="AC51" s="465"/>
      <c r="AD51" s="465"/>
      <c r="AE51" s="465"/>
      <c r="AF51" s="465"/>
      <c r="AG51" s="465"/>
      <c r="AH51" s="465"/>
      <c r="AI51" s="465"/>
      <c r="AJ51" s="465"/>
      <c r="AK51" s="466"/>
    </row>
    <row r="52" spans="1:37" s="62" customFormat="1" ht="33" customHeight="1" x14ac:dyDescent="0.25">
      <c r="A52" s="464"/>
      <c r="B52" s="393"/>
      <c r="C52" s="131"/>
      <c r="D52" s="131"/>
      <c r="E52" s="393"/>
      <c r="F52" s="393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465"/>
      <c r="Y52" s="465"/>
      <c r="Z52" s="465"/>
      <c r="AA52" s="465"/>
      <c r="AB52" s="465"/>
      <c r="AC52" s="465"/>
      <c r="AD52" s="465"/>
      <c r="AE52" s="465"/>
      <c r="AF52" s="465"/>
      <c r="AG52" s="465"/>
      <c r="AH52" s="465"/>
      <c r="AI52" s="465"/>
      <c r="AJ52" s="465"/>
      <c r="AK52" s="466"/>
    </row>
    <row r="53" spans="1:37" s="62" customFormat="1" ht="33" customHeight="1" x14ac:dyDescent="0.25">
      <c r="A53" s="464"/>
      <c r="B53" s="393"/>
      <c r="C53" s="131"/>
      <c r="D53" s="131"/>
      <c r="E53" s="393"/>
      <c r="F53" s="393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465"/>
      <c r="Y53" s="465"/>
      <c r="Z53" s="465"/>
      <c r="AA53" s="465"/>
      <c r="AB53" s="465"/>
      <c r="AC53" s="465"/>
      <c r="AD53" s="465"/>
      <c r="AE53" s="465"/>
      <c r="AF53" s="465"/>
      <c r="AG53" s="465"/>
      <c r="AH53" s="465"/>
      <c r="AI53" s="465"/>
      <c r="AJ53" s="465"/>
      <c r="AK53" s="466"/>
    </row>
    <row r="54" spans="1:37" s="62" customFormat="1" ht="33" customHeight="1" x14ac:dyDescent="0.25">
      <c r="A54" s="464"/>
      <c r="B54" s="393"/>
      <c r="C54" s="131"/>
      <c r="D54" s="131"/>
      <c r="E54" s="393"/>
      <c r="F54" s="393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5"/>
      <c r="X54" s="465"/>
      <c r="Y54" s="465"/>
      <c r="Z54" s="465"/>
      <c r="AA54" s="465"/>
      <c r="AB54" s="465"/>
      <c r="AC54" s="465"/>
      <c r="AD54" s="465"/>
      <c r="AE54" s="465"/>
      <c r="AF54" s="465"/>
      <c r="AG54" s="465"/>
      <c r="AH54" s="465"/>
      <c r="AI54" s="465"/>
      <c r="AJ54" s="465"/>
      <c r="AK54" s="466"/>
    </row>
    <row r="55" spans="1:37" s="62" customFormat="1" ht="33" customHeight="1" x14ac:dyDescent="0.25">
      <c r="A55" s="464"/>
      <c r="B55" s="393"/>
      <c r="C55" s="131"/>
      <c r="D55" s="131"/>
      <c r="E55" s="393"/>
      <c r="F55" s="393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5"/>
      <c r="V55" s="465"/>
      <c r="W55" s="465"/>
      <c r="X55" s="465"/>
      <c r="Y55" s="465"/>
      <c r="Z55" s="465"/>
      <c r="AA55" s="465"/>
      <c r="AB55" s="465"/>
      <c r="AC55" s="465"/>
      <c r="AD55" s="465"/>
      <c r="AE55" s="465"/>
      <c r="AF55" s="465"/>
      <c r="AG55" s="465"/>
      <c r="AH55" s="465"/>
      <c r="AI55" s="465"/>
      <c r="AJ55" s="465"/>
      <c r="AK55" s="466"/>
    </row>
    <row r="56" spans="1:37" s="62" customFormat="1" ht="33" customHeight="1" x14ac:dyDescent="0.25">
      <c r="A56" s="464"/>
      <c r="B56" s="393"/>
      <c r="C56" s="131"/>
      <c r="D56" s="131"/>
      <c r="E56" s="393"/>
      <c r="F56" s="393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5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6"/>
    </row>
    <row r="57" spans="1:37" s="62" customFormat="1" ht="33" customHeight="1" x14ac:dyDescent="0.25">
      <c r="A57" s="464"/>
      <c r="B57" s="393"/>
      <c r="C57" s="131"/>
      <c r="D57" s="131"/>
      <c r="E57" s="393"/>
      <c r="F57" s="393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  <c r="AC57" s="465"/>
      <c r="AD57" s="465"/>
      <c r="AE57" s="465"/>
      <c r="AF57" s="465"/>
      <c r="AG57" s="465"/>
      <c r="AH57" s="465"/>
      <c r="AI57" s="465"/>
      <c r="AJ57" s="465"/>
      <c r="AK57" s="466"/>
    </row>
    <row r="58" spans="1:37" s="62" customFormat="1" ht="33" customHeight="1" x14ac:dyDescent="0.25">
      <c r="A58" s="464"/>
      <c r="B58" s="393"/>
      <c r="C58" s="131"/>
      <c r="D58" s="131"/>
      <c r="E58" s="393"/>
      <c r="F58" s="393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5"/>
      <c r="V58" s="465"/>
      <c r="W58" s="465"/>
      <c r="X58" s="465"/>
      <c r="Y58" s="465"/>
      <c r="Z58" s="465"/>
      <c r="AA58" s="465"/>
      <c r="AB58" s="465"/>
      <c r="AC58" s="465"/>
      <c r="AD58" s="465"/>
      <c r="AE58" s="465"/>
      <c r="AF58" s="465"/>
      <c r="AG58" s="465"/>
      <c r="AH58" s="465"/>
      <c r="AI58" s="465"/>
      <c r="AJ58" s="465"/>
      <c r="AK58" s="466"/>
    </row>
    <row r="59" spans="1:37" s="62" customFormat="1" ht="33" customHeight="1" x14ac:dyDescent="0.25">
      <c r="A59" s="464"/>
      <c r="B59" s="393"/>
      <c r="C59" s="131"/>
      <c r="D59" s="131"/>
      <c r="E59" s="393"/>
      <c r="F59" s="393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5"/>
      <c r="V59" s="465"/>
      <c r="W59" s="465"/>
      <c r="X59" s="465"/>
      <c r="Y59" s="465"/>
      <c r="Z59" s="465"/>
      <c r="AA59" s="465"/>
      <c r="AB59" s="465"/>
      <c r="AC59" s="465"/>
      <c r="AD59" s="465"/>
      <c r="AE59" s="465"/>
      <c r="AF59" s="465"/>
      <c r="AG59" s="465"/>
      <c r="AH59" s="465"/>
      <c r="AI59" s="465"/>
      <c r="AJ59" s="465"/>
      <c r="AK59" s="466"/>
    </row>
    <row r="60" spans="1:37" s="62" customFormat="1" ht="33" customHeight="1" x14ac:dyDescent="0.25">
      <c r="A60" s="464"/>
      <c r="B60" s="393"/>
      <c r="C60" s="131"/>
      <c r="D60" s="131"/>
      <c r="E60" s="393"/>
      <c r="F60" s="393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5"/>
      <c r="V60" s="465"/>
      <c r="W60" s="465"/>
      <c r="X60" s="465"/>
      <c r="Y60" s="465"/>
      <c r="Z60" s="465"/>
      <c r="AA60" s="465"/>
      <c r="AB60" s="465"/>
      <c r="AC60" s="465"/>
      <c r="AD60" s="465"/>
      <c r="AE60" s="465"/>
      <c r="AF60" s="465"/>
      <c r="AG60" s="465"/>
      <c r="AH60" s="465"/>
      <c r="AI60" s="465"/>
      <c r="AJ60" s="465"/>
      <c r="AK60" s="466"/>
    </row>
    <row r="61" spans="1:37" s="62" customFormat="1" ht="33" customHeight="1" x14ac:dyDescent="0.25">
      <c r="A61" s="464"/>
      <c r="B61" s="393"/>
      <c r="C61" s="131"/>
      <c r="D61" s="131"/>
      <c r="E61" s="393"/>
      <c r="F61" s="393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5"/>
      <c r="V61" s="465"/>
      <c r="W61" s="465"/>
      <c r="X61" s="465"/>
      <c r="Y61" s="465"/>
      <c r="Z61" s="465"/>
      <c r="AA61" s="465"/>
      <c r="AB61" s="465"/>
      <c r="AC61" s="465"/>
      <c r="AD61" s="465"/>
      <c r="AE61" s="465"/>
      <c r="AF61" s="465"/>
      <c r="AG61" s="465"/>
      <c r="AH61" s="465"/>
      <c r="AI61" s="465"/>
      <c r="AJ61" s="465"/>
      <c r="AK61" s="466"/>
    </row>
    <row r="62" spans="1:37" s="62" customFormat="1" ht="33" customHeight="1" x14ac:dyDescent="0.25">
      <c r="A62" s="464"/>
      <c r="B62" s="393"/>
      <c r="C62" s="131"/>
      <c r="D62" s="131"/>
      <c r="E62" s="393"/>
      <c r="F62" s="393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5"/>
      <c r="X62" s="465"/>
      <c r="Y62" s="465"/>
      <c r="Z62" s="465"/>
      <c r="AA62" s="465"/>
      <c r="AB62" s="465"/>
      <c r="AC62" s="465"/>
      <c r="AD62" s="465"/>
      <c r="AE62" s="465"/>
      <c r="AF62" s="465"/>
      <c r="AG62" s="465"/>
      <c r="AH62" s="465"/>
      <c r="AI62" s="465"/>
      <c r="AJ62" s="465"/>
      <c r="AK62" s="466"/>
    </row>
    <row r="63" spans="1:37" s="62" customFormat="1" ht="33" customHeight="1" x14ac:dyDescent="0.25">
      <c r="A63" s="464"/>
      <c r="B63" s="393"/>
      <c r="C63" s="131"/>
      <c r="D63" s="131"/>
      <c r="E63" s="393"/>
      <c r="F63" s="393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5"/>
      <c r="V63" s="465"/>
      <c r="W63" s="465"/>
      <c r="X63" s="465"/>
      <c r="Y63" s="465"/>
      <c r="Z63" s="465"/>
      <c r="AA63" s="465"/>
      <c r="AB63" s="465"/>
      <c r="AC63" s="465"/>
      <c r="AD63" s="465"/>
      <c r="AE63" s="465"/>
      <c r="AF63" s="465"/>
      <c r="AG63" s="465"/>
      <c r="AH63" s="465"/>
      <c r="AI63" s="465"/>
      <c r="AJ63" s="465"/>
      <c r="AK63" s="466"/>
    </row>
    <row r="64" spans="1:37" s="62" customFormat="1" ht="33" customHeight="1" x14ac:dyDescent="0.25">
      <c r="A64" s="464"/>
      <c r="B64" s="393"/>
      <c r="C64" s="131"/>
      <c r="D64" s="131"/>
      <c r="E64" s="393"/>
      <c r="F64" s="393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5"/>
      <c r="V64" s="465"/>
      <c r="W64" s="465"/>
      <c r="X64" s="465"/>
      <c r="Y64" s="465"/>
      <c r="Z64" s="465"/>
      <c r="AA64" s="465"/>
      <c r="AB64" s="465"/>
      <c r="AC64" s="465"/>
      <c r="AD64" s="465"/>
      <c r="AE64" s="465"/>
      <c r="AF64" s="465"/>
      <c r="AG64" s="465"/>
      <c r="AH64" s="465"/>
      <c r="AI64" s="465"/>
      <c r="AJ64" s="465"/>
      <c r="AK64" s="466"/>
    </row>
    <row r="65" spans="1:37" s="62" customFormat="1" ht="33" customHeight="1" x14ac:dyDescent="0.25">
      <c r="A65" s="464"/>
      <c r="B65" s="393"/>
      <c r="C65" s="131"/>
      <c r="D65" s="131"/>
      <c r="E65" s="393"/>
      <c r="F65" s="393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  <c r="AC65" s="465"/>
      <c r="AD65" s="465"/>
      <c r="AE65" s="465"/>
      <c r="AF65" s="465"/>
      <c r="AG65" s="465"/>
      <c r="AH65" s="465"/>
      <c r="AI65" s="465"/>
      <c r="AJ65" s="465"/>
      <c r="AK65" s="466"/>
    </row>
    <row r="66" spans="1:37" s="62" customFormat="1" ht="33" customHeight="1" x14ac:dyDescent="0.25">
      <c r="A66" s="464"/>
      <c r="B66" s="393"/>
      <c r="C66" s="131"/>
      <c r="D66" s="131"/>
      <c r="E66" s="393"/>
      <c r="F66" s="393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5"/>
      <c r="AB66" s="465"/>
      <c r="AC66" s="465"/>
      <c r="AD66" s="465"/>
      <c r="AE66" s="465"/>
      <c r="AF66" s="465"/>
      <c r="AG66" s="465"/>
      <c r="AH66" s="465"/>
      <c r="AI66" s="465"/>
      <c r="AJ66" s="465"/>
      <c r="AK66" s="466"/>
    </row>
    <row r="67" spans="1:37" s="62" customFormat="1" ht="33" customHeight="1" x14ac:dyDescent="0.25">
      <c r="A67" s="464"/>
      <c r="B67" s="393"/>
      <c r="C67" s="131"/>
      <c r="D67" s="131"/>
      <c r="E67" s="393"/>
      <c r="F67" s="393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465"/>
      <c r="AA67" s="465"/>
      <c r="AB67" s="465"/>
      <c r="AC67" s="465"/>
      <c r="AD67" s="465"/>
      <c r="AE67" s="465"/>
      <c r="AF67" s="465"/>
      <c r="AG67" s="465"/>
      <c r="AH67" s="465"/>
      <c r="AI67" s="465"/>
      <c r="AJ67" s="465"/>
      <c r="AK67" s="466"/>
    </row>
    <row r="68" spans="1:37" s="62" customFormat="1" ht="33" customHeight="1" x14ac:dyDescent="0.25">
      <c r="A68" s="464"/>
      <c r="B68" s="393"/>
      <c r="C68" s="131"/>
      <c r="D68" s="131"/>
      <c r="E68" s="393"/>
      <c r="F68" s="393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5"/>
      <c r="V68" s="465"/>
      <c r="W68" s="465"/>
      <c r="X68" s="465"/>
      <c r="Y68" s="465"/>
      <c r="Z68" s="465"/>
      <c r="AA68" s="465"/>
      <c r="AB68" s="465"/>
      <c r="AC68" s="465"/>
      <c r="AD68" s="465"/>
      <c r="AE68" s="465"/>
      <c r="AF68" s="465"/>
      <c r="AG68" s="465"/>
      <c r="AH68" s="465"/>
      <c r="AI68" s="465"/>
      <c r="AJ68" s="465"/>
      <c r="AK68" s="466"/>
    </row>
    <row r="69" spans="1:37" s="62" customFormat="1" ht="33" customHeight="1" x14ac:dyDescent="0.25">
      <c r="A69" s="464"/>
      <c r="B69" s="393"/>
      <c r="C69" s="131"/>
      <c r="D69" s="131"/>
      <c r="E69" s="393"/>
      <c r="F69" s="393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5"/>
      <c r="V69" s="465"/>
      <c r="W69" s="465"/>
      <c r="X69" s="465"/>
      <c r="Y69" s="465"/>
      <c r="Z69" s="465"/>
      <c r="AA69" s="465"/>
      <c r="AB69" s="465"/>
      <c r="AC69" s="465"/>
      <c r="AD69" s="465"/>
      <c r="AE69" s="465"/>
      <c r="AF69" s="465"/>
      <c r="AG69" s="465"/>
      <c r="AH69" s="465"/>
      <c r="AI69" s="465"/>
      <c r="AJ69" s="465"/>
      <c r="AK69" s="466"/>
    </row>
    <row r="70" spans="1:37" s="62" customFormat="1" ht="33" customHeight="1" x14ac:dyDescent="0.25">
      <c r="A70" s="464"/>
      <c r="B70" s="393"/>
      <c r="C70" s="131"/>
      <c r="D70" s="131"/>
      <c r="E70" s="393"/>
      <c r="F70" s="393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5"/>
      <c r="V70" s="465"/>
      <c r="W70" s="465"/>
      <c r="X70" s="465"/>
      <c r="Y70" s="465"/>
      <c r="Z70" s="465"/>
      <c r="AA70" s="465"/>
      <c r="AB70" s="465"/>
      <c r="AC70" s="465"/>
      <c r="AD70" s="465"/>
      <c r="AE70" s="465"/>
      <c r="AF70" s="465"/>
      <c r="AG70" s="465"/>
      <c r="AH70" s="465"/>
      <c r="AI70" s="465"/>
      <c r="AJ70" s="465"/>
      <c r="AK70" s="466"/>
    </row>
    <row r="71" spans="1:37" s="62" customFormat="1" ht="33" customHeight="1" x14ac:dyDescent="0.25">
      <c r="A71" s="464"/>
      <c r="B71" s="393"/>
      <c r="C71" s="131"/>
      <c r="D71" s="131"/>
      <c r="E71" s="393"/>
      <c r="F71" s="393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  <c r="AC71" s="465"/>
      <c r="AD71" s="465"/>
      <c r="AE71" s="465"/>
      <c r="AF71" s="465"/>
      <c r="AG71" s="465"/>
      <c r="AH71" s="465"/>
      <c r="AI71" s="465"/>
      <c r="AJ71" s="465"/>
      <c r="AK71" s="466"/>
    </row>
    <row r="72" spans="1:37" s="62" customFormat="1" ht="33" customHeight="1" x14ac:dyDescent="0.25">
      <c r="A72" s="464"/>
      <c r="B72" s="393"/>
      <c r="C72" s="131"/>
      <c r="D72" s="131"/>
      <c r="E72" s="393"/>
      <c r="F72" s="393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5"/>
      <c r="V72" s="465"/>
      <c r="W72" s="465"/>
      <c r="X72" s="465"/>
      <c r="Y72" s="465"/>
      <c r="Z72" s="465"/>
      <c r="AA72" s="465"/>
      <c r="AB72" s="465"/>
      <c r="AC72" s="465"/>
      <c r="AD72" s="465"/>
      <c r="AE72" s="465"/>
      <c r="AF72" s="465"/>
      <c r="AG72" s="465"/>
      <c r="AH72" s="465"/>
      <c r="AI72" s="465"/>
      <c r="AJ72" s="465"/>
      <c r="AK72" s="466"/>
    </row>
    <row r="73" spans="1:37" s="62" customFormat="1" ht="33" customHeight="1" x14ac:dyDescent="0.25">
      <c r="A73" s="464"/>
      <c r="B73" s="393"/>
      <c r="C73" s="131"/>
      <c r="D73" s="131"/>
      <c r="E73" s="393"/>
      <c r="F73" s="393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5"/>
      <c r="V73" s="465"/>
      <c r="W73" s="465"/>
      <c r="X73" s="465"/>
      <c r="Y73" s="465"/>
      <c r="Z73" s="465"/>
      <c r="AA73" s="465"/>
      <c r="AB73" s="465"/>
      <c r="AC73" s="465"/>
      <c r="AD73" s="465"/>
      <c r="AE73" s="465"/>
      <c r="AF73" s="465"/>
      <c r="AG73" s="465"/>
      <c r="AH73" s="465"/>
      <c r="AI73" s="465"/>
      <c r="AJ73" s="465"/>
      <c r="AK73" s="466"/>
    </row>
    <row r="74" spans="1:37" s="62" customFormat="1" ht="33" customHeight="1" x14ac:dyDescent="0.25">
      <c r="A74" s="464"/>
      <c r="B74" s="393"/>
      <c r="C74" s="131"/>
      <c r="D74" s="131"/>
      <c r="E74" s="393"/>
      <c r="F74" s="393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5"/>
      <c r="V74" s="465"/>
      <c r="W74" s="465"/>
      <c r="X74" s="465"/>
      <c r="Y74" s="465"/>
      <c r="Z74" s="465"/>
      <c r="AA74" s="465"/>
      <c r="AB74" s="465"/>
      <c r="AC74" s="465"/>
      <c r="AD74" s="465"/>
      <c r="AE74" s="465"/>
      <c r="AF74" s="465"/>
      <c r="AG74" s="465"/>
      <c r="AH74" s="465"/>
      <c r="AI74" s="465"/>
      <c r="AJ74" s="465"/>
      <c r="AK74" s="466"/>
    </row>
    <row r="75" spans="1:37" s="62" customFormat="1" ht="33" customHeight="1" x14ac:dyDescent="0.25">
      <c r="A75" s="464"/>
      <c r="B75" s="393"/>
      <c r="C75" s="131"/>
      <c r="D75" s="131"/>
      <c r="E75" s="393"/>
      <c r="F75" s="393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5"/>
      <c r="V75" s="465"/>
      <c r="W75" s="465"/>
      <c r="X75" s="465"/>
      <c r="Y75" s="465"/>
      <c r="Z75" s="465"/>
      <c r="AA75" s="465"/>
      <c r="AB75" s="465"/>
      <c r="AC75" s="465"/>
      <c r="AD75" s="465"/>
      <c r="AE75" s="465"/>
      <c r="AF75" s="465"/>
      <c r="AG75" s="465"/>
      <c r="AH75" s="465"/>
      <c r="AI75" s="465"/>
      <c r="AJ75" s="465"/>
      <c r="AK75" s="466"/>
    </row>
    <row r="76" spans="1:37" s="62" customFormat="1" ht="33" customHeight="1" x14ac:dyDescent="0.25">
      <c r="A76" s="464"/>
      <c r="B76" s="393"/>
      <c r="C76" s="131"/>
      <c r="D76" s="131"/>
      <c r="E76" s="393"/>
      <c r="F76" s="393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5"/>
      <c r="V76" s="465"/>
      <c r="W76" s="465"/>
      <c r="X76" s="465"/>
      <c r="Y76" s="465"/>
      <c r="Z76" s="465"/>
      <c r="AA76" s="465"/>
      <c r="AB76" s="465"/>
      <c r="AC76" s="465"/>
      <c r="AD76" s="465"/>
      <c r="AE76" s="465"/>
      <c r="AF76" s="465"/>
      <c r="AG76" s="465"/>
      <c r="AH76" s="465"/>
      <c r="AI76" s="465"/>
      <c r="AJ76" s="465"/>
      <c r="AK76" s="466"/>
    </row>
    <row r="77" spans="1:37" s="62" customFormat="1" ht="33" customHeight="1" x14ac:dyDescent="0.25">
      <c r="A77" s="464"/>
      <c r="B77" s="393"/>
      <c r="C77" s="131"/>
      <c r="D77" s="131"/>
      <c r="E77" s="393"/>
      <c r="F77" s="393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6"/>
    </row>
    <row r="78" spans="1:37" s="62" customFormat="1" ht="33" customHeight="1" x14ac:dyDescent="0.25">
      <c r="A78" s="464"/>
      <c r="B78" s="393"/>
      <c r="C78" s="131"/>
      <c r="D78" s="131"/>
      <c r="E78" s="393"/>
      <c r="F78" s="393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6"/>
    </row>
    <row r="79" spans="1:37" s="62" customFormat="1" ht="33" customHeight="1" x14ac:dyDescent="0.25">
      <c r="A79" s="464"/>
      <c r="B79" s="393"/>
      <c r="C79" s="131"/>
      <c r="D79" s="131"/>
      <c r="E79" s="393"/>
      <c r="F79" s="393"/>
      <c r="G79" s="465"/>
      <c r="H79" s="465"/>
      <c r="I79" s="465"/>
      <c r="J79" s="465"/>
      <c r="K79" s="465"/>
      <c r="L79" s="465"/>
      <c r="M79" s="465"/>
      <c r="N79" s="465"/>
      <c r="O79" s="465"/>
      <c r="P79" s="465"/>
      <c r="Q79" s="465"/>
      <c r="R79" s="465"/>
      <c r="S79" s="465"/>
      <c r="T79" s="465"/>
      <c r="U79" s="465"/>
      <c r="V79" s="465"/>
      <c r="W79" s="465"/>
      <c r="X79" s="465"/>
      <c r="Y79" s="465"/>
      <c r="Z79" s="465"/>
      <c r="AA79" s="465"/>
      <c r="AB79" s="465"/>
      <c r="AC79" s="465"/>
      <c r="AD79" s="465"/>
      <c r="AE79" s="465"/>
      <c r="AF79" s="465"/>
      <c r="AG79" s="465"/>
      <c r="AH79" s="465"/>
      <c r="AI79" s="465"/>
      <c r="AJ79" s="465"/>
      <c r="AK79" s="466"/>
    </row>
    <row r="80" spans="1:37" s="62" customFormat="1" ht="33" customHeight="1" thickBot="1" x14ac:dyDescent="0.3">
      <c r="A80" s="469"/>
      <c r="B80" s="404"/>
      <c r="C80" s="132"/>
      <c r="D80" s="132"/>
      <c r="E80" s="404"/>
      <c r="F80" s="404"/>
      <c r="G80" s="470"/>
      <c r="H80" s="470"/>
      <c r="I80" s="470"/>
      <c r="J80" s="470"/>
      <c r="K80" s="470"/>
      <c r="L80" s="470"/>
      <c r="M80" s="470"/>
      <c r="N80" s="470"/>
      <c r="O80" s="470"/>
      <c r="P80" s="470"/>
      <c r="Q80" s="470"/>
      <c r="R80" s="470"/>
      <c r="S80" s="470"/>
      <c r="T80" s="470"/>
      <c r="U80" s="470"/>
      <c r="V80" s="470"/>
      <c r="W80" s="470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1"/>
    </row>
    <row r="81" spans="23:37" x14ac:dyDescent="0.25">
      <c r="W81" s="126"/>
      <c r="AF81" s="450"/>
      <c r="AG81" s="450"/>
      <c r="AH81" s="450"/>
      <c r="AI81" s="127"/>
      <c r="AJ81" s="153"/>
      <c r="AK81" s="133" t="str">
        <f>AK49</f>
        <v>8517-0000</v>
      </c>
    </row>
  </sheetData>
  <dataConsolidate link="1"/>
  <mergeCells count="196">
    <mergeCell ref="A80:B80"/>
    <mergeCell ref="E80:F80"/>
    <mergeCell ref="G80:AK80"/>
    <mergeCell ref="AF81:AH81"/>
    <mergeCell ref="A78:B78"/>
    <mergeCell ref="E78:F78"/>
    <mergeCell ref="G78:AK78"/>
    <mergeCell ref="A79:B79"/>
    <mergeCell ref="E79:F79"/>
    <mergeCell ref="G79:AK79"/>
    <mergeCell ref="A76:B76"/>
    <mergeCell ref="E76:F76"/>
    <mergeCell ref="G76:AK76"/>
    <mergeCell ref="A77:B77"/>
    <mergeCell ref="E77:F77"/>
    <mergeCell ref="G77:AK77"/>
    <mergeCell ref="A74:B74"/>
    <mergeCell ref="E74:F74"/>
    <mergeCell ref="G74:AK74"/>
    <mergeCell ref="A75:B75"/>
    <mergeCell ref="E75:F75"/>
    <mergeCell ref="G75:AK75"/>
    <mergeCell ref="A72:B72"/>
    <mergeCell ref="E72:F72"/>
    <mergeCell ref="G72:AK72"/>
    <mergeCell ref="A73:B73"/>
    <mergeCell ref="E73:F73"/>
    <mergeCell ref="G73:AK73"/>
    <mergeCell ref="A70:B70"/>
    <mergeCell ref="E70:F70"/>
    <mergeCell ref="G70:AK70"/>
    <mergeCell ref="A71:B71"/>
    <mergeCell ref="E71:F71"/>
    <mergeCell ref="G71:AK71"/>
    <mergeCell ref="A68:B68"/>
    <mergeCell ref="E68:F68"/>
    <mergeCell ref="G68:AK68"/>
    <mergeCell ref="A69:B69"/>
    <mergeCell ref="E69:F69"/>
    <mergeCell ref="G69:AK69"/>
    <mergeCell ref="A66:B66"/>
    <mergeCell ref="E66:F66"/>
    <mergeCell ref="G66:AK66"/>
    <mergeCell ref="A67:B67"/>
    <mergeCell ref="E67:F67"/>
    <mergeCell ref="G67:AK67"/>
    <mergeCell ref="A64:B64"/>
    <mergeCell ref="E64:F64"/>
    <mergeCell ref="G64:AK64"/>
    <mergeCell ref="A65:B65"/>
    <mergeCell ref="E65:F65"/>
    <mergeCell ref="G65:AK65"/>
    <mergeCell ref="A62:B62"/>
    <mergeCell ref="E62:F62"/>
    <mergeCell ref="G62:AK62"/>
    <mergeCell ref="A63:B63"/>
    <mergeCell ref="E63:F63"/>
    <mergeCell ref="G63:AK63"/>
    <mergeCell ref="A60:B60"/>
    <mergeCell ref="E60:F60"/>
    <mergeCell ref="G60:AK60"/>
    <mergeCell ref="A61:B61"/>
    <mergeCell ref="E61:F61"/>
    <mergeCell ref="G61:AK61"/>
    <mergeCell ref="A58:B58"/>
    <mergeCell ref="E58:F58"/>
    <mergeCell ref="G58:AK58"/>
    <mergeCell ref="A59:B59"/>
    <mergeCell ref="E59:F59"/>
    <mergeCell ref="G59:AK59"/>
    <mergeCell ref="A56:B56"/>
    <mergeCell ref="E56:F56"/>
    <mergeCell ref="G56:AK56"/>
    <mergeCell ref="A57:B57"/>
    <mergeCell ref="E57:F57"/>
    <mergeCell ref="G57:AK57"/>
    <mergeCell ref="A54:B54"/>
    <mergeCell ref="E54:F54"/>
    <mergeCell ref="G54:AK54"/>
    <mergeCell ref="A55:B55"/>
    <mergeCell ref="E55:F55"/>
    <mergeCell ref="G55:AK55"/>
    <mergeCell ref="A52:B52"/>
    <mergeCell ref="E52:F52"/>
    <mergeCell ref="G52:AK52"/>
    <mergeCell ref="A53:B53"/>
    <mergeCell ref="E53:F53"/>
    <mergeCell ref="G53:AK53"/>
    <mergeCell ref="A50:B50"/>
    <mergeCell ref="E50:F50"/>
    <mergeCell ref="G50:AK50"/>
    <mergeCell ref="A51:B51"/>
    <mergeCell ref="E51:F51"/>
    <mergeCell ref="G51:AK51"/>
    <mergeCell ref="AK43:AK45"/>
    <mergeCell ref="A46:H46"/>
    <mergeCell ref="AI46:AK48"/>
    <mergeCell ref="A47:H47"/>
    <mergeCell ref="A48:H48"/>
    <mergeCell ref="AF49:AH49"/>
    <mergeCell ref="A40:A42"/>
    <mergeCell ref="B40:D42"/>
    <mergeCell ref="AI40:AJ42"/>
    <mergeCell ref="AK40:AK42"/>
    <mergeCell ref="G41:G42"/>
    <mergeCell ref="E42:F45"/>
    <mergeCell ref="A43:A45"/>
    <mergeCell ref="B43:D45"/>
    <mergeCell ref="G43:G44"/>
    <mergeCell ref="AI43:AJ45"/>
    <mergeCell ref="A32:H32"/>
    <mergeCell ref="AI32:AJ32"/>
    <mergeCell ref="A33:D39"/>
    <mergeCell ref="E33:F36"/>
    <mergeCell ref="G33:G34"/>
    <mergeCell ref="AI33:AK39"/>
    <mergeCell ref="G35:G36"/>
    <mergeCell ref="E37:F41"/>
    <mergeCell ref="G37:G38"/>
    <mergeCell ref="G39:G40"/>
    <mergeCell ref="AI28:AJ28"/>
    <mergeCell ref="AI29:AJ29"/>
    <mergeCell ref="A30:H30"/>
    <mergeCell ref="A31:H31"/>
    <mergeCell ref="AI25:AJ25"/>
    <mergeCell ref="AI26:AJ26"/>
    <mergeCell ref="AI27:AJ27"/>
    <mergeCell ref="B25:E25"/>
    <mergeCell ref="B26:E26"/>
    <mergeCell ref="B27:E27"/>
    <mergeCell ref="B28:E28"/>
    <mergeCell ref="B29:E29"/>
    <mergeCell ref="AI22:AJ22"/>
    <mergeCell ref="AI23:AJ23"/>
    <mergeCell ref="AI24:AJ24"/>
    <mergeCell ref="AI19:AJ19"/>
    <mergeCell ref="AI20:AJ20"/>
    <mergeCell ref="AI21:AJ21"/>
    <mergeCell ref="B19:E19"/>
    <mergeCell ref="B20:E20"/>
    <mergeCell ref="B21:E21"/>
    <mergeCell ref="B22:E22"/>
    <mergeCell ref="B23:E23"/>
    <mergeCell ref="B24:E24"/>
    <mergeCell ref="AI16:AJ16"/>
    <mergeCell ref="AI17:AJ17"/>
    <mergeCell ref="AI18:AJ18"/>
    <mergeCell ref="AI13:AJ13"/>
    <mergeCell ref="AI14:AJ14"/>
    <mergeCell ref="AI15:AJ15"/>
    <mergeCell ref="B13:E13"/>
    <mergeCell ref="B14:E14"/>
    <mergeCell ref="B15:E15"/>
    <mergeCell ref="B16:E16"/>
    <mergeCell ref="B17:E17"/>
    <mergeCell ref="B18:E18"/>
    <mergeCell ref="AI10:AJ10"/>
    <mergeCell ref="AI11:AJ11"/>
    <mergeCell ref="AI12:AJ12"/>
    <mergeCell ref="W6:Y6"/>
    <mergeCell ref="Z6:AE6"/>
    <mergeCell ref="AF6:AH6"/>
    <mergeCell ref="AI6:AK6"/>
    <mergeCell ref="B10:E10"/>
    <mergeCell ref="B11:E11"/>
    <mergeCell ref="B12:E12"/>
    <mergeCell ref="A8:A9"/>
    <mergeCell ref="G8:H9"/>
    <mergeCell ref="I8:AH9"/>
    <mergeCell ref="AI8:AK8"/>
    <mergeCell ref="AI9:AJ9"/>
    <mergeCell ref="A6:B6"/>
    <mergeCell ref="D6:E6"/>
    <mergeCell ref="F6:H6"/>
    <mergeCell ref="J6:M6"/>
    <mergeCell ref="N6:R6"/>
    <mergeCell ref="S6:V6"/>
    <mergeCell ref="B8:D9"/>
    <mergeCell ref="F8:F9"/>
    <mergeCell ref="AI4:AK4"/>
    <mergeCell ref="A5:C5"/>
    <mergeCell ref="D5:M5"/>
    <mergeCell ref="N5:R5"/>
    <mergeCell ref="S5:V5"/>
    <mergeCell ref="AF5:AH5"/>
    <mergeCell ref="AI5:AK5"/>
    <mergeCell ref="A1:P3"/>
    <mergeCell ref="Q1:W3"/>
    <mergeCell ref="X1:AK3"/>
    <mergeCell ref="A4:C4"/>
    <mergeCell ref="D4:M4"/>
    <mergeCell ref="N4:R4"/>
    <mergeCell ref="S4:V4"/>
    <mergeCell ref="W4:AB5"/>
    <mergeCell ref="AC4:AE5"/>
    <mergeCell ref="AF4:AH4"/>
  </mergeCells>
  <conditionalFormatting sqref="G10:G29">
    <cfRule type="cellIs" dxfId="2" priority="3" operator="equal">
      <formula>0</formula>
    </cfRule>
  </conditionalFormatting>
  <dataValidations count="2">
    <dataValidation type="textLength" errorStyle="information" operator="equal" allowBlank="1" showErrorMessage="1" errorTitle="Zadat číslo stolu" error="Číslo stolu je ve formátu 4 znaků" promptTitle="Zadat číslo stolu" prompt="Číslo stolu je ve formátu 4 znaků" sqref="H10:H28">
      <formula1>4</formula1>
    </dataValidation>
    <dataValidation type="list" allowBlank="1" showInputMessage="1" showErrorMessage="1" errorTitle="Vybrat ze seznamu" error="Oblast je potřeba vybrat ze seznamu (označení pracoviště)_x000a__x000a_Žluté_x000a_Modré_x000a_Zelené" sqref="AI5:AK5">
      <formula1>$AN$9:$AN$12</formula1>
    </dataValidation>
  </dataValidations>
  <printOptions horizontalCentered="1"/>
  <pageMargins left="0.19685039370078741" right="0.19685039370078741" top="0.19685039370078741" bottom="0.27559055118110237" header="0.31496062992125984" footer="0.31496062992125984"/>
  <pageSetup paperSize="9" scale="54" orientation="landscape" r:id="rId1"/>
  <headerFooter>
    <oddFooter>&amp;LFB_7602-03-032_KOCR_Z (1.13)&amp;C&amp;Z&amp;F&amp;RVA_10-36_KOCR_Z</oddFooter>
  </headerFooter>
  <rowBreaks count="1" manualBreakCount="1">
    <brk id="49" max="36" man="1"/>
  </rowBreaks>
  <drawing r:id="rId2"/>
  <legacyDrawing r:id="rId3"/>
  <oleObjects>
    <mc:AlternateContent xmlns:mc="http://schemas.openxmlformats.org/markup-compatibility/2006">
      <mc:Choice Requires="x14">
        <oleObject progId="Word.Picture.8" shapeId="2051" r:id="rId4">
          <objectPr defaultSize="0" autoPict="0" r:id="rId5">
            <anchor moveWithCells="1">
              <from>
                <xdr:col>34</xdr:col>
                <xdr:colOff>0</xdr:colOff>
                <xdr:row>0</xdr:row>
                <xdr:rowOff>66675</xdr:rowOff>
              </from>
              <to>
                <xdr:col>36</xdr:col>
                <xdr:colOff>838200</xdr:colOff>
                <xdr:row>2</xdr:row>
                <xdr:rowOff>123825</xdr:rowOff>
              </to>
            </anchor>
          </objectPr>
        </oleObject>
      </mc:Choice>
      <mc:Fallback>
        <oleObject progId="Word.Picture.8" shapeId="2051" r:id="rId4"/>
      </mc:Fallback>
    </mc:AlternateContent>
  </oleObjects>
  <controls>
    <mc:AlternateContent xmlns:mc="http://schemas.openxmlformats.org/markup-compatibility/2006">
      <mc:Choice Requires="x14">
        <control shapeId="2055" r:id="rId6" name="vytvorATR">
          <controlPr defaultSize="0" autoLine="0" r:id="rId7">
            <anchor moveWithCells="1">
              <from>
                <xdr:col>42</xdr:col>
                <xdr:colOff>533400</xdr:colOff>
                <xdr:row>0</xdr:row>
                <xdr:rowOff>85725</xdr:rowOff>
              </from>
              <to>
                <xdr:col>47</xdr:col>
                <xdr:colOff>219075</xdr:colOff>
                <xdr:row>3</xdr:row>
                <xdr:rowOff>304800</xdr:rowOff>
              </to>
            </anchor>
          </controlPr>
        </control>
      </mc:Choice>
      <mc:Fallback>
        <control shapeId="2055" r:id="rId6" name="vytvorATR"/>
      </mc:Fallback>
    </mc:AlternateContent>
    <mc:AlternateContent xmlns:mc="http://schemas.openxmlformats.org/markup-compatibility/2006">
      <mc:Choice Requires="x14">
        <control shapeId="2053" r:id="rId8" name="OtevriMenu">
          <controlPr defaultSize="0" autoLine="0" r:id="rId9">
            <anchor moveWithCells="1">
              <from>
                <xdr:col>37</xdr:col>
                <xdr:colOff>152400</xdr:colOff>
                <xdr:row>0</xdr:row>
                <xdr:rowOff>95250</xdr:rowOff>
              </from>
              <to>
                <xdr:col>42</xdr:col>
                <xdr:colOff>447675</xdr:colOff>
                <xdr:row>3</xdr:row>
                <xdr:rowOff>314325</xdr:rowOff>
              </to>
            </anchor>
          </controlPr>
        </control>
      </mc:Choice>
      <mc:Fallback>
        <control shapeId="2053" r:id="rId8" name="OtevriMenu"/>
      </mc:Fallback>
    </mc:AlternateContent>
    <mc:AlternateContent xmlns:mc="http://schemas.openxmlformats.org/markup-compatibility/2006">
      <mc:Choice Requires="x14">
        <control shapeId="2049" r:id="rId10" name="Check Box 1">
          <controlPr locked="0" defaultSize="0" autoFill="0" autoLine="0" autoPict="0">
            <anchor moveWithCells="1">
              <from>
                <xdr:col>19</xdr:col>
                <xdr:colOff>285750</xdr:colOff>
                <xdr:row>1</xdr:row>
                <xdr:rowOff>38100</xdr:rowOff>
              </from>
              <to>
                <xdr:col>20</xdr:col>
                <xdr:colOff>190500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1" name="Check Box 2">
          <controlPr locked="0" defaultSize="0" autoFill="0" autoLine="0" autoPict="0">
            <anchor moveWithCells="1">
              <from>
                <xdr:col>23</xdr:col>
                <xdr:colOff>142875</xdr:colOff>
                <xdr:row>1</xdr:row>
                <xdr:rowOff>28575</xdr:rowOff>
              </from>
              <to>
                <xdr:col>24</xdr:col>
                <xdr:colOff>47625</xdr:colOff>
                <xdr:row>2</xdr:row>
                <xdr:rowOff>38100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5"/>
  <dimension ref="A1:AN159"/>
  <sheetViews>
    <sheetView view="pageBreakPreview" zoomScale="55" zoomScaleNormal="85" zoomScaleSheetLayoutView="55" workbookViewId="0">
      <selection activeCell="E20" sqref="E20:G20"/>
    </sheetView>
  </sheetViews>
  <sheetFormatPr defaultRowHeight="15" outlineLevelRow="1" x14ac:dyDescent="0.25"/>
  <cols>
    <col min="1" max="1" width="8.42578125" style="50" customWidth="1"/>
    <col min="2" max="2" width="12.42578125" style="50" customWidth="1"/>
    <col min="3" max="3" width="11.28515625" style="50" customWidth="1"/>
    <col min="4" max="4" width="16.28515625" style="50" customWidth="1"/>
    <col min="5" max="5" width="35" style="50" customWidth="1"/>
    <col min="6" max="7" width="8.42578125" style="50" customWidth="1"/>
    <col min="8" max="8" width="8.5703125" style="50" customWidth="1"/>
    <col min="9" max="34" width="4.7109375" style="50" customWidth="1"/>
    <col min="35" max="35" width="3.42578125" style="50" customWidth="1"/>
    <col min="36" max="36" width="12.140625" style="50" customWidth="1"/>
    <col min="37" max="37" width="14.140625" style="50" customWidth="1"/>
    <col min="38" max="39" width="9.140625" style="50"/>
    <col min="40" max="40" width="9.140625" style="50" hidden="1" customWidth="1"/>
    <col min="41" max="16384" width="9.140625" style="50"/>
  </cols>
  <sheetData>
    <row r="1" spans="1:40" ht="10.5" customHeight="1" x14ac:dyDescent="0.25">
      <c r="A1" s="341" t="s">
        <v>118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3" t="s">
        <v>21</v>
      </c>
      <c r="R1" s="343"/>
      <c r="S1" s="343"/>
      <c r="T1" s="343"/>
      <c r="U1" s="343"/>
      <c r="V1" s="343"/>
      <c r="W1" s="343"/>
      <c r="X1" s="345" t="s">
        <v>22</v>
      </c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</row>
    <row r="2" spans="1:40" ht="16.5" customHeight="1" x14ac:dyDescent="0.25">
      <c r="A2" s="341"/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3"/>
      <c r="R2" s="343"/>
      <c r="S2" s="343"/>
      <c r="T2" s="343"/>
      <c r="U2" s="343"/>
      <c r="V2" s="343"/>
      <c r="W2" s="343"/>
      <c r="X2" s="345"/>
      <c r="Y2" s="345"/>
      <c r="Z2" s="345"/>
      <c r="AA2" s="345"/>
      <c r="AB2" s="345"/>
      <c r="AC2" s="345"/>
      <c r="AD2" s="345"/>
      <c r="AE2" s="345"/>
      <c r="AF2" s="345"/>
      <c r="AG2" s="345"/>
      <c r="AH2" s="345"/>
      <c r="AI2" s="345"/>
      <c r="AJ2" s="345"/>
      <c r="AK2" s="345"/>
    </row>
    <row r="3" spans="1:40" ht="12.75" customHeight="1" thickBot="1" x14ac:dyDescent="0.3">
      <c r="A3" s="342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4"/>
      <c r="R3" s="344"/>
      <c r="S3" s="344"/>
      <c r="T3" s="344"/>
      <c r="U3" s="344"/>
      <c r="V3" s="344"/>
      <c r="W3" s="344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  <c r="AK3" s="346"/>
    </row>
    <row r="4" spans="1:40" s="51" customFormat="1" ht="39.950000000000003" customHeight="1" x14ac:dyDescent="0.35">
      <c r="A4" s="347" t="s">
        <v>23</v>
      </c>
      <c r="B4" s="348"/>
      <c r="C4" s="348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8" t="s">
        <v>24</v>
      </c>
      <c r="O4" s="350"/>
      <c r="P4" s="350"/>
      <c r="Q4" s="350"/>
      <c r="R4" s="350"/>
      <c r="S4" s="351"/>
      <c r="T4" s="351"/>
      <c r="U4" s="351"/>
      <c r="V4" s="351"/>
      <c r="W4" s="352" t="s">
        <v>25</v>
      </c>
      <c r="X4" s="353"/>
      <c r="Y4" s="353"/>
      <c r="Z4" s="353"/>
      <c r="AA4" s="353"/>
      <c r="AB4" s="353"/>
      <c r="AC4" s="359" t="s">
        <v>83</v>
      </c>
      <c r="AD4" s="359"/>
      <c r="AE4" s="360"/>
      <c r="AF4" s="348" t="s">
        <v>27</v>
      </c>
      <c r="AG4" s="348"/>
      <c r="AH4" s="348"/>
      <c r="AI4" s="331"/>
      <c r="AJ4" s="331"/>
      <c r="AK4" s="332"/>
      <c r="AN4" s="52" t="s">
        <v>28</v>
      </c>
    </row>
    <row r="5" spans="1:40" s="51" customFormat="1" ht="39.950000000000003" customHeight="1" x14ac:dyDescent="0.25">
      <c r="A5" s="333" t="s">
        <v>29</v>
      </c>
      <c r="B5" s="334"/>
      <c r="C5" s="334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4" t="s">
        <v>30</v>
      </c>
      <c r="O5" s="336"/>
      <c r="P5" s="336"/>
      <c r="Q5" s="336"/>
      <c r="R5" s="336"/>
      <c r="S5" s="337">
        <f ca="1">(TODAY())</f>
        <v>44397</v>
      </c>
      <c r="T5" s="338"/>
      <c r="U5" s="338"/>
      <c r="V5" s="338"/>
      <c r="W5" s="539"/>
      <c r="X5" s="540"/>
      <c r="Y5" s="540"/>
      <c r="Z5" s="540"/>
      <c r="AA5" s="540"/>
      <c r="AB5" s="540"/>
      <c r="AC5" s="543"/>
      <c r="AD5" s="543"/>
      <c r="AE5" s="544"/>
      <c r="AF5" s="334" t="s">
        <v>31</v>
      </c>
      <c r="AG5" s="334"/>
      <c r="AH5" s="334"/>
      <c r="AI5" s="339"/>
      <c r="AJ5" s="339"/>
      <c r="AK5" s="340"/>
      <c r="AN5" s="51" t="s">
        <v>33</v>
      </c>
    </row>
    <row r="6" spans="1:40" s="51" customFormat="1" ht="39.950000000000003" customHeight="1" thickBot="1" x14ac:dyDescent="0.3">
      <c r="A6" s="378" t="s">
        <v>34</v>
      </c>
      <c r="B6" s="379"/>
      <c r="C6" s="53" t="s">
        <v>35</v>
      </c>
      <c r="D6" s="536"/>
      <c r="E6" s="537"/>
      <c r="F6" s="537"/>
      <c r="G6" s="537"/>
      <c r="H6" s="537"/>
      <c r="I6" s="537"/>
      <c r="J6" s="537"/>
      <c r="K6" s="537"/>
      <c r="L6" s="537"/>
      <c r="M6" s="537"/>
      <c r="N6" s="537"/>
      <c r="O6" s="537"/>
      <c r="P6" s="537"/>
      <c r="Q6" s="537"/>
      <c r="R6" s="537"/>
      <c r="S6" s="537"/>
      <c r="T6" s="537"/>
      <c r="U6" s="537"/>
      <c r="V6" s="538"/>
      <c r="W6" s="541"/>
      <c r="X6" s="542"/>
      <c r="Y6" s="542"/>
      <c r="Z6" s="542"/>
      <c r="AA6" s="542"/>
      <c r="AB6" s="542"/>
      <c r="AC6" s="545"/>
      <c r="AD6" s="545"/>
      <c r="AE6" s="546"/>
      <c r="AF6" s="372" t="s">
        <v>41</v>
      </c>
      <c r="AG6" s="372"/>
      <c r="AH6" s="372"/>
      <c r="AI6" s="383"/>
      <c r="AJ6" s="383"/>
      <c r="AK6" s="400"/>
      <c r="AN6" s="51" t="s">
        <v>26</v>
      </c>
    </row>
    <row r="7" spans="1:40" s="61" customFormat="1" ht="8.25" customHeight="1" thickBot="1" x14ac:dyDescent="0.3">
      <c r="A7" s="55"/>
      <c r="B7" s="55"/>
      <c r="C7" s="56"/>
      <c r="D7" s="57"/>
      <c r="E7" s="57"/>
      <c r="F7" s="58"/>
      <c r="G7" s="58"/>
      <c r="H7" s="58"/>
      <c r="I7" s="57"/>
      <c r="J7" s="57"/>
      <c r="K7" s="57"/>
      <c r="L7" s="57"/>
      <c r="M7" s="57"/>
      <c r="N7" s="55"/>
      <c r="O7" s="59"/>
      <c r="P7" s="59"/>
      <c r="Q7" s="59"/>
      <c r="R7" s="59"/>
      <c r="S7" s="56"/>
      <c r="T7" s="56"/>
      <c r="U7" s="56"/>
      <c r="V7" s="56"/>
      <c r="W7" s="59"/>
      <c r="X7" s="59"/>
      <c r="Y7" s="57"/>
      <c r="Z7" s="57"/>
      <c r="AA7" s="57"/>
      <c r="AB7" s="57"/>
      <c r="AC7" s="57"/>
      <c r="AD7" s="57"/>
      <c r="AE7" s="57"/>
      <c r="AF7" s="55"/>
      <c r="AG7" s="55"/>
      <c r="AH7" s="55"/>
      <c r="AI7" s="60"/>
      <c r="AJ7" s="60"/>
      <c r="AK7" s="60"/>
    </row>
    <row r="8" spans="1:40" s="62" customFormat="1" ht="35.25" customHeight="1" x14ac:dyDescent="0.25">
      <c r="A8" s="347" t="s">
        <v>42</v>
      </c>
      <c r="B8" s="384" t="s">
        <v>43</v>
      </c>
      <c r="C8" s="385"/>
      <c r="D8" s="385"/>
      <c r="E8" s="134" t="s">
        <v>82</v>
      </c>
      <c r="F8" s="388" t="s">
        <v>84</v>
      </c>
      <c r="G8" s="366" t="s">
        <v>117</v>
      </c>
      <c r="H8" s="367"/>
      <c r="I8" s="347" t="s">
        <v>45</v>
      </c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D8" s="348"/>
      <c r="AE8" s="348"/>
      <c r="AF8" s="348"/>
      <c r="AG8" s="348"/>
      <c r="AH8" s="370"/>
      <c r="AI8" s="374" t="s">
        <v>46</v>
      </c>
      <c r="AJ8" s="374"/>
      <c r="AK8" s="375"/>
    </row>
    <row r="9" spans="1:40" s="62" customFormat="1" ht="33.75" customHeight="1" thickBot="1" x14ac:dyDescent="0.3">
      <c r="A9" s="547"/>
      <c r="B9" s="386"/>
      <c r="C9" s="387"/>
      <c r="D9" s="387"/>
      <c r="E9" s="186" t="str">
        <f>MID(KI!B2,1,12)</f>
        <v>KI-xxx-xx-xx</v>
      </c>
      <c r="F9" s="389"/>
      <c r="G9" s="368"/>
      <c r="H9" s="369"/>
      <c r="I9" s="371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3"/>
      <c r="AI9" s="376" t="s">
        <v>47</v>
      </c>
      <c r="AJ9" s="377"/>
      <c r="AK9" s="63" t="s">
        <v>48</v>
      </c>
      <c r="AN9" s="62" t="s">
        <v>32</v>
      </c>
    </row>
    <row r="10" spans="1:40" s="62" customFormat="1" ht="21.95" customHeight="1" x14ac:dyDescent="0.25">
      <c r="A10" s="192">
        <v>1</v>
      </c>
      <c r="B10" s="401"/>
      <c r="C10" s="401"/>
      <c r="D10" s="401"/>
      <c r="E10" s="401"/>
      <c r="F10" s="136"/>
      <c r="G10" s="485"/>
      <c r="H10" s="486"/>
      <c r="I10" s="65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66"/>
      <c r="Z10" s="66"/>
      <c r="AA10" s="66"/>
      <c r="AB10" s="66"/>
      <c r="AC10" s="66"/>
      <c r="AD10" s="66"/>
      <c r="AE10" s="66"/>
      <c r="AF10" s="66"/>
      <c r="AG10" s="66"/>
      <c r="AH10" s="193"/>
      <c r="AI10" s="548"/>
      <c r="AJ10" s="391"/>
      <c r="AK10" s="69"/>
      <c r="AN10" s="62" t="s">
        <v>49</v>
      </c>
    </row>
    <row r="11" spans="1:40" s="62" customFormat="1" ht="21.95" customHeight="1" x14ac:dyDescent="0.25">
      <c r="A11" s="70" t="str">
        <f>IF(B11&lt;&gt;"",A10+1,"")</f>
        <v/>
      </c>
      <c r="B11" s="402"/>
      <c r="C11" s="402"/>
      <c r="D11" s="402"/>
      <c r="E11" s="402"/>
      <c r="F11" s="189"/>
      <c r="G11" s="472"/>
      <c r="H11" s="473"/>
      <c r="I11" s="71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3"/>
      <c r="Y11" s="72"/>
      <c r="Z11" s="72"/>
      <c r="AA11" s="72"/>
      <c r="AB11" s="72"/>
      <c r="AC11" s="72"/>
      <c r="AD11" s="72"/>
      <c r="AE11" s="72"/>
      <c r="AF11" s="72"/>
      <c r="AG11" s="72"/>
      <c r="AH11" s="194"/>
      <c r="AI11" s="464"/>
      <c r="AJ11" s="393"/>
      <c r="AK11" s="75"/>
      <c r="AN11" s="62" t="s">
        <v>50</v>
      </c>
    </row>
    <row r="12" spans="1:40" s="62" customFormat="1" ht="21.95" customHeight="1" x14ac:dyDescent="0.25">
      <c r="A12" s="70" t="str">
        <f t="shared" ref="A12:A24" si="0">IF(B12&lt;&gt;"",A11+1,"")</f>
        <v/>
      </c>
      <c r="B12" s="402"/>
      <c r="C12" s="402"/>
      <c r="D12" s="402"/>
      <c r="E12" s="402"/>
      <c r="F12" s="189"/>
      <c r="G12" s="472"/>
      <c r="H12" s="473"/>
      <c r="I12" s="71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3"/>
      <c r="Y12" s="72"/>
      <c r="Z12" s="72"/>
      <c r="AA12" s="72"/>
      <c r="AB12" s="72"/>
      <c r="AC12" s="72"/>
      <c r="AD12" s="72"/>
      <c r="AE12" s="72"/>
      <c r="AF12" s="72"/>
      <c r="AG12" s="72"/>
      <c r="AH12" s="194"/>
      <c r="AI12" s="464"/>
      <c r="AJ12" s="393"/>
      <c r="AK12" s="75"/>
      <c r="AN12" s="62" t="s">
        <v>51</v>
      </c>
    </row>
    <row r="13" spans="1:40" s="62" customFormat="1" ht="21.95" customHeight="1" x14ac:dyDescent="0.25">
      <c r="A13" s="70" t="str">
        <f t="shared" si="0"/>
        <v/>
      </c>
      <c r="B13" s="402"/>
      <c r="C13" s="402"/>
      <c r="D13" s="402"/>
      <c r="E13" s="402"/>
      <c r="F13" s="189"/>
      <c r="G13" s="472"/>
      <c r="H13" s="473"/>
      <c r="I13" s="71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3"/>
      <c r="Y13" s="72"/>
      <c r="Z13" s="72"/>
      <c r="AA13" s="72"/>
      <c r="AB13" s="72"/>
      <c r="AC13" s="72"/>
      <c r="AD13" s="72"/>
      <c r="AE13" s="72"/>
      <c r="AF13" s="72"/>
      <c r="AG13" s="72"/>
      <c r="AH13" s="194"/>
      <c r="AI13" s="464"/>
      <c r="AJ13" s="393"/>
      <c r="AK13" s="75"/>
    </row>
    <row r="14" spans="1:40" s="62" customFormat="1" ht="21.95" customHeight="1" x14ac:dyDescent="0.25">
      <c r="A14" s="70" t="str">
        <f t="shared" si="0"/>
        <v/>
      </c>
      <c r="B14" s="402"/>
      <c r="C14" s="402"/>
      <c r="D14" s="402"/>
      <c r="E14" s="402"/>
      <c r="F14" s="189"/>
      <c r="G14" s="472"/>
      <c r="H14" s="473"/>
      <c r="I14" s="71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3"/>
      <c r="Y14" s="72"/>
      <c r="Z14" s="72"/>
      <c r="AA14" s="72"/>
      <c r="AB14" s="72"/>
      <c r="AC14" s="72"/>
      <c r="AD14" s="72"/>
      <c r="AE14" s="72"/>
      <c r="AF14" s="72"/>
      <c r="AG14" s="72"/>
      <c r="AH14" s="194"/>
      <c r="AI14" s="464"/>
      <c r="AJ14" s="393"/>
      <c r="AK14" s="75"/>
    </row>
    <row r="15" spans="1:40" s="62" customFormat="1" ht="21.95" customHeight="1" x14ac:dyDescent="0.25">
      <c r="A15" s="70" t="str">
        <f t="shared" si="0"/>
        <v/>
      </c>
      <c r="B15" s="402"/>
      <c r="C15" s="402"/>
      <c r="D15" s="402"/>
      <c r="E15" s="402"/>
      <c r="F15" s="189"/>
      <c r="G15" s="472"/>
      <c r="H15" s="473"/>
      <c r="I15" s="71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3"/>
      <c r="Y15" s="72"/>
      <c r="Z15" s="72"/>
      <c r="AA15" s="72"/>
      <c r="AB15" s="72"/>
      <c r="AC15" s="72"/>
      <c r="AD15" s="72"/>
      <c r="AE15" s="72"/>
      <c r="AF15" s="72"/>
      <c r="AG15" s="72"/>
      <c r="AH15" s="194"/>
      <c r="AI15" s="464"/>
      <c r="AJ15" s="393"/>
      <c r="AK15" s="75"/>
    </row>
    <row r="16" spans="1:40" s="62" customFormat="1" ht="21.95" customHeight="1" x14ac:dyDescent="0.25">
      <c r="A16" s="70" t="str">
        <f t="shared" si="0"/>
        <v/>
      </c>
      <c r="B16" s="402"/>
      <c r="C16" s="402"/>
      <c r="D16" s="402"/>
      <c r="E16" s="402"/>
      <c r="F16" s="189"/>
      <c r="G16" s="472"/>
      <c r="H16" s="473"/>
      <c r="I16" s="71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3"/>
      <c r="Y16" s="72"/>
      <c r="Z16" s="72"/>
      <c r="AA16" s="72"/>
      <c r="AB16" s="72"/>
      <c r="AC16" s="72"/>
      <c r="AD16" s="72"/>
      <c r="AE16" s="72"/>
      <c r="AF16" s="72"/>
      <c r="AG16" s="72"/>
      <c r="AH16" s="194"/>
      <c r="AI16" s="464"/>
      <c r="AJ16" s="393"/>
      <c r="AK16" s="75"/>
    </row>
    <row r="17" spans="1:37" s="62" customFormat="1" ht="21.95" customHeight="1" x14ac:dyDescent="0.25">
      <c r="A17" s="70" t="str">
        <f t="shared" si="0"/>
        <v/>
      </c>
      <c r="B17" s="402"/>
      <c r="C17" s="402"/>
      <c r="D17" s="402"/>
      <c r="E17" s="402"/>
      <c r="F17" s="189"/>
      <c r="G17" s="472"/>
      <c r="H17" s="473"/>
      <c r="I17" s="71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3"/>
      <c r="Y17" s="72"/>
      <c r="Z17" s="72"/>
      <c r="AA17" s="72"/>
      <c r="AB17" s="72"/>
      <c r="AC17" s="72"/>
      <c r="AD17" s="72"/>
      <c r="AE17" s="72"/>
      <c r="AF17" s="72"/>
      <c r="AG17" s="72"/>
      <c r="AH17" s="194"/>
      <c r="AI17" s="464"/>
      <c r="AJ17" s="393"/>
      <c r="AK17" s="75"/>
    </row>
    <row r="18" spans="1:37" s="62" customFormat="1" ht="21.95" customHeight="1" x14ac:dyDescent="0.25">
      <c r="A18" s="70" t="str">
        <f t="shared" si="0"/>
        <v/>
      </c>
      <c r="B18" s="402"/>
      <c r="C18" s="402"/>
      <c r="D18" s="402"/>
      <c r="E18" s="402"/>
      <c r="F18" s="189"/>
      <c r="G18" s="472"/>
      <c r="H18" s="473"/>
      <c r="I18" s="71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3"/>
      <c r="Y18" s="72"/>
      <c r="Z18" s="72"/>
      <c r="AA18" s="72"/>
      <c r="AB18" s="72"/>
      <c r="AC18" s="72"/>
      <c r="AD18" s="72"/>
      <c r="AE18" s="72"/>
      <c r="AF18" s="72"/>
      <c r="AG18" s="72"/>
      <c r="AH18" s="194"/>
      <c r="AI18" s="464"/>
      <c r="AJ18" s="393"/>
      <c r="AK18" s="75"/>
    </row>
    <row r="19" spans="1:37" s="62" customFormat="1" ht="21.95" customHeight="1" x14ac:dyDescent="0.25">
      <c r="A19" s="70" t="str">
        <f t="shared" si="0"/>
        <v/>
      </c>
      <c r="B19" s="402"/>
      <c r="C19" s="402"/>
      <c r="D19" s="402"/>
      <c r="E19" s="402"/>
      <c r="F19" s="189"/>
      <c r="G19" s="472"/>
      <c r="H19" s="473"/>
      <c r="I19" s="71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3"/>
      <c r="Y19" s="72"/>
      <c r="Z19" s="72"/>
      <c r="AA19" s="72"/>
      <c r="AB19" s="72"/>
      <c r="AC19" s="72"/>
      <c r="AD19" s="72"/>
      <c r="AE19" s="72"/>
      <c r="AF19" s="72"/>
      <c r="AG19" s="72"/>
      <c r="AH19" s="194"/>
      <c r="AI19" s="464"/>
      <c r="AJ19" s="393"/>
      <c r="AK19" s="75"/>
    </row>
    <row r="20" spans="1:37" s="62" customFormat="1" ht="21.95" customHeight="1" x14ac:dyDescent="0.25">
      <c r="A20" s="70" t="str">
        <f t="shared" si="0"/>
        <v/>
      </c>
      <c r="B20" s="402"/>
      <c r="C20" s="402"/>
      <c r="D20" s="402"/>
      <c r="E20" s="402"/>
      <c r="F20" s="189"/>
      <c r="G20" s="472"/>
      <c r="H20" s="473"/>
      <c r="I20" s="71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3"/>
      <c r="Y20" s="72"/>
      <c r="Z20" s="72"/>
      <c r="AA20" s="72"/>
      <c r="AB20" s="72"/>
      <c r="AC20" s="72"/>
      <c r="AD20" s="72"/>
      <c r="AE20" s="72"/>
      <c r="AF20" s="72"/>
      <c r="AG20" s="72"/>
      <c r="AH20" s="194"/>
      <c r="AI20" s="464"/>
      <c r="AJ20" s="393"/>
      <c r="AK20" s="75"/>
    </row>
    <row r="21" spans="1:37" s="62" customFormat="1" ht="21.95" customHeight="1" x14ac:dyDescent="0.25">
      <c r="A21" s="70" t="str">
        <f t="shared" si="0"/>
        <v/>
      </c>
      <c r="B21" s="402"/>
      <c r="C21" s="402"/>
      <c r="D21" s="402"/>
      <c r="E21" s="402"/>
      <c r="F21" s="189"/>
      <c r="G21" s="472"/>
      <c r="H21" s="473"/>
      <c r="I21" s="71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3"/>
      <c r="Y21" s="72"/>
      <c r="Z21" s="72"/>
      <c r="AA21" s="72"/>
      <c r="AB21" s="72"/>
      <c r="AC21" s="72"/>
      <c r="AD21" s="72"/>
      <c r="AE21" s="72"/>
      <c r="AF21" s="72"/>
      <c r="AG21" s="72"/>
      <c r="AH21" s="194"/>
      <c r="AI21" s="464"/>
      <c r="AJ21" s="393"/>
      <c r="AK21" s="75"/>
    </row>
    <row r="22" spans="1:37" s="62" customFormat="1" ht="21.95" customHeight="1" x14ac:dyDescent="0.25">
      <c r="A22" s="70" t="str">
        <f t="shared" si="0"/>
        <v/>
      </c>
      <c r="B22" s="402"/>
      <c r="C22" s="402"/>
      <c r="D22" s="402"/>
      <c r="E22" s="402"/>
      <c r="F22" s="189"/>
      <c r="G22" s="472"/>
      <c r="H22" s="473"/>
      <c r="I22" s="71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3"/>
      <c r="Y22" s="72"/>
      <c r="Z22" s="72"/>
      <c r="AA22" s="72"/>
      <c r="AB22" s="72"/>
      <c r="AC22" s="72"/>
      <c r="AD22" s="72"/>
      <c r="AE22" s="72"/>
      <c r="AF22" s="72"/>
      <c r="AG22" s="72"/>
      <c r="AH22" s="194"/>
      <c r="AI22" s="464"/>
      <c r="AJ22" s="393"/>
      <c r="AK22" s="75"/>
    </row>
    <row r="23" spans="1:37" s="62" customFormat="1" ht="21.95" customHeight="1" x14ac:dyDescent="0.25">
      <c r="A23" s="70" t="str">
        <f t="shared" si="0"/>
        <v/>
      </c>
      <c r="B23" s="402"/>
      <c r="C23" s="402"/>
      <c r="D23" s="402"/>
      <c r="E23" s="402"/>
      <c r="F23" s="189"/>
      <c r="G23" s="472"/>
      <c r="H23" s="473"/>
      <c r="I23" s="71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3"/>
      <c r="Y23" s="72"/>
      <c r="Z23" s="72"/>
      <c r="AA23" s="72"/>
      <c r="AB23" s="72"/>
      <c r="AC23" s="72"/>
      <c r="AD23" s="72"/>
      <c r="AE23" s="72"/>
      <c r="AF23" s="72"/>
      <c r="AG23" s="72"/>
      <c r="AH23" s="194"/>
      <c r="AI23" s="464"/>
      <c r="AJ23" s="393"/>
      <c r="AK23" s="75"/>
    </row>
    <row r="24" spans="1:37" s="62" customFormat="1" ht="21.95" customHeight="1" x14ac:dyDescent="0.25">
      <c r="A24" s="70" t="str">
        <f t="shared" si="0"/>
        <v/>
      </c>
      <c r="B24" s="402"/>
      <c r="C24" s="402"/>
      <c r="D24" s="402"/>
      <c r="E24" s="402"/>
      <c r="F24" s="189"/>
      <c r="G24" s="472"/>
      <c r="H24" s="473"/>
      <c r="I24" s="71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3"/>
      <c r="Y24" s="72"/>
      <c r="Z24" s="72"/>
      <c r="AA24" s="72"/>
      <c r="AB24" s="72"/>
      <c r="AC24" s="72"/>
      <c r="AD24" s="72"/>
      <c r="AE24" s="72"/>
      <c r="AF24" s="72"/>
      <c r="AG24" s="72"/>
      <c r="AH24" s="194"/>
      <c r="AI24" s="464"/>
      <c r="AJ24" s="393"/>
      <c r="AK24" s="75"/>
    </row>
    <row r="25" spans="1:37" s="62" customFormat="1" ht="21.95" customHeight="1" x14ac:dyDescent="0.25">
      <c r="A25" s="70" t="str">
        <f t="shared" ref="A25:A44" si="1">IF(B25&lt;&gt;"",A24+1,"")</f>
        <v/>
      </c>
      <c r="B25" s="402"/>
      <c r="C25" s="402"/>
      <c r="D25" s="402"/>
      <c r="E25" s="402"/>
      <c r="F25" s="189"/>
      <c r="G25" s="472"/>
      <c r="H25" s="473"/>
      <c r="I25" s="71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3"/>
      <c r="Y25" s="72"/>
      <c r="Z25" s="72"/>
      <c r="AA25" s="72"/>
      <c r="AB25" s="72"/>
      <c r="AC25" s="72"/>
      <c r="AD25" s="72"/>
      <c r="AE25" s="72"/>
      <c r="AF25" s="72"/>
      <c r="AG25" s="72"/>
      <c r="AH25" s="194"/>
      <c r="AI25" s="464"/>
      <c r="AJ25" s="393"/>
      <c r="AK25" s="75"/>
    </row>
    <row r="26" spans="1:37" s="62" customFormat="1" ht="21.95" customHeight="1" x14ac:dyDescent="0.25">
      <c r="A26" s="70" t="str">
        <f t="shared" si="1"/>
        <v/>
      </c>
      <c r="B26" s="402"/>
      <c r="C26" s="402"/>
      <c r="D26" s="402"/>
      <c r="E26" s="402"/>
      <c r="F26" s="189"/>
      <c r="G26" s="472"/>
      <c r="H26" s="473"/>
      <c r="I26" s="71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3"/>
      <c r="Y26" s="72"/>
      <c r="Z26" s="72"/>
      <c r="AA26" s="72"/>
      <c r="AB26" s="72"/>
      <c r="AC26" s="72"/>
      <c r="AD26" s="72"/>
      <c r="AE26" s="72"/>
      <c r="AF26" s="72"/>
      <c r="AG26" s="72"/>
      <c r="AH26" s="194"/>
      <c r="AI26" s="464"/>
      <c r="AJ26" s="393"/>
      <c r="AK26" s="75"/>
    </row>
    <row r="27" spans="1:37" s="62" customFormat="1" ht="21.95" customHeight="1" x14ac:dyDescent="0.25">
      <c r="A27" s="70" t="str">
        <f t="shared" si="1"/>
        <v/>
      </c>
      <c r="B27" s="402"/>
      <c r="C27" s="402"/>
      <c r="D27" s="402"/>
      <c r="E27" s="402"/>
      <c r="F27" s="189"/>
      <c r="G27" s="472"/>
      <c r="H27" s="473"/>
      <c r="I27" s="71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3"/>
      <c r="Y27" s="72"/>
      <c r="Z27" s="72"/>
      <c r="AA27" s="72"/>
      <c r="AB27" s="72"/>
      <c r="AC27" s="72"/>
      <c r="AD27" s="72"/>
      <c r="AE27" s="72"/>
      <c r="AF27" s="72"/>
      <c r="AG27" s="72"/>
      <c r="AH27" s="194"/>
      <c r="AI27" s="464"/>
      <c r="AJ27" s="393"/>
      <c r="AK27" s="75"/>
    </row>
    <row r="28" spans="1:37" s="62" customFormat="1" ht="21.95" customHeight="1" x14ac:dyDescent="0.25">
      <c r="A28" s="70" t="str">
        <f t="shared" si="1"/>
        <v/>
      </c>
      <c r="B28" s="402"/>
      <c r="C28" s="402"/>
      <c r="D28" s="402"/>
      <c r="E28" s="402"/>
      <c r="F28" s="189"/>
      <c r="G28" s="472"/>
      <c r="H28" s="473"/>
      <c r="I28" s="71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3"/>
      <c r="Y28" s="72"/>
      <c r="Z28" s="72"/>
      <c r="AA28" s="72"/>
      <c r="AB28" s="72"/>
      <c r="AC28" s="72"/>
      <c r="AD28" s="72"/>
      <c r="AE28" s="72"/>
      <c r="AF28" s="72"/>
      <c r="AG28" s="72"/>
      <c r="AH28" s="194"/>
      <c r="AI28" s="464"/>
      <c r="AJ28" s="393"/>
      <c r="AK28" s="75"/>
    </row>
    <row r="29" spans="1:37" s="62" customFormat="1" ht="21.95" customHeight="1" x14ac:dyDescent="0.25">
      <c r="A29" s="70" t="str">
        <f t="shared" si="1"/>
        <v/>
      </c>
      <c r="B29" s="402"/>
      <c r="C29" s="402"/>
      <c r="D29" s="402"/>
      <c r="E29" s="402"/>
      <c r="F29" s="189"/>
      <c r="G29" s="472"/>
      <c r="H29" s="473"/>
      <c r="I29" s="71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3"/>
      <c r="Y29" s="72"/>
      <c r="Z29" s="72"/>
      <c r="AA29" s="72"/>
      <c r="AB29" s="72"/>
      <c r="AC29" s="72"/>
      <c r="AD29" s="72"/>
      <c r="AE29" s="72"/>
      <c r="AF29" s="72"/>
      <c r="AG29" s="72"/>
      <c r="AH29" s="194"/>
      <c r="AI29" s="464"/>
      <c r="AJ29" s="393"/>
      <c r="AK29" s="75"/>
    </row>
    <row r="30" spans="1:37" s="62" customFormat="1" ht="21.95" customHeight="1" x14ac:dyDescent="0.25">
      <c r="A30" s="70" t="str">
        <f t="shared" si="1"/>
        <v/>
      </c>
      <c r="B30" s="402"/>
      <c r="C30" s="402"/>
      <c r="D30" s="402"/>
      <c r="E30" s="402"/>
      <c r="F30" s="189"/>
      <c r="G30" s="472"/>
      <c r="H30" s="473"/>
      <c r="I30" s="71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3"/>
      <c r="Y30" s="72"/>
      <c r="Z30" s="72"/>
      <c r="AA30" s="72"/>
      <c r="AB30" s="72"/>
      <c r="AC30" s="72"/>
      <c r="AD30" s="72"/>
      <c r="AE30" s="72"/>
      <c r="AF30" s="72"/>
      <c r="AG30" s="72"/>
      <c r="AH30" s="194"/>
      <c r="AI30" s="464"/>
      <c r="AJ30" s="393"/>
      <c r="AK30" s="75"/>
    </row>
    <row r="31" spans="1:37" s="62" customFormat="1" ht="21.95" customHeight="1" x14ac:dyDescent="0.25">
      <c r="A31" s="70" t="str">
        <f t="shared" si="1"/>
        <v/>
      </c>
      <c r="B31" s="402"/>
      <c r="C31" s="402"/>
      <c r="D31" s="402"/>
      <c r="E31" s="402"/>
      <c r="F31" s="189"/>
      <c r="G31" s="472"/>
      <c r="H31" s="473"/>
      <c r="I31" s="71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3"/>
      <c r="Y31" s="72"/>
      <c r="Z31" s="72"/>
      <c r="AA31" s="72"/>
      <c r="AB31" s="72"/>
      <c r="AC31" s="72"/>
      <c r="AD31" s="72"/>
      <c r="AE31" s="72"/>
      <c r="AF31" s="72"/>
      <c r="AG31" s="72"/>
      <c r="AH31" s="194"/>
      <c r="AI31" s="464"/>
      <c r="AJ31" s="393"/>
      <c r="AK31" s="75"/>
    </row>
    <row r="32" spans="1:37" s="62" customFormat="1" ht="21.95" customHeight="1" x14ac:dyDescent="0.25">
      <c r="A32" s="70" t="str">
        <f t="shared" si="1"/>
        <v/>
      </c>
      <c r="B32" s="402"/>
      <c r="C32" s="402"/>
      <c r="D32" s="402"/>
      <c r="E32" s="402"/>
      <c r="F32" s="189"/>
      <c r="G32" s="472"/>
      <c r="H32" s="473"/>
      <c r="I32" s="71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3"/>
      <c r="Y32" s="72"/>
      <c r="Z32" s="72"/>
      <c r="AA32" s="72"/>
      <c r="AB32" s="72"/>
      <c r="AC32" s="72"/>
      <c r="AD32" s="72"/>
      <c r="AE32" s="72"/>
      <c r="AF32" s="72"/>
      <c r="AG32" s="72"/>
      <c r="AH32" s="194"/>
      <c r="AI32" s="464"/>
      <c r="AJ32" s="393"/>
      <c r="AK32" s="75"/>
    </row>
    <row r="33" spans="1:37" s="62" customFormat="1" ht="21.95" customHeight="1" x14ac:dyDescent="0.25">
      <c r="A33" s="70" t="str">
        <f t="shared" si="1"/>
        <v/>
      </c>
      <c r="B33" s="402"/>
      <c r="C33" s="402"/>
      <c r="D33" s="402"/>
      <c r="E33" s="402"/>
      <c r="F33" s="189"/>
      <c r="G33" s="472"/>
      <c r="H33" s="473"/>
      <c r="I33" s="71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3"/>
      <c r="Y33" s="72"/>
      <c r="Z33" s="72"/>
      <c r="AA33" s="72"/>
      <c r="AB33" s="72"/>
      <c r="AC33" s="72"/>
      <c r="AD33" s="72"/>
      <c r="AE33" s="72"/>
      <c r="AF33" s="72"/>
      <c r="AG33" s="72"/>
      <c r="AH33" s="194"/>
      <c r="AI33" s="464"/>
      <c r="AJ33" s="393"/>
      <c r="AK33" s="75"/>
    </row>
    <row r="34" spans="1:37" s="62" customFormat="1" ht="21.95" customHeight="1" x14ac:dyDescent="0.25">
      <c r="A34" s="70" t="str">
        <f t="shared" si="1"/>
        <v/>
      </c>
      <c r="B34" s="402"/>
      <c r="C34" s="402"/>
      <c r="D34" s="402"/>
      <c r="E34" s="402"/>
      <c r="F34" s="189"/>
      <c r="G34" s="472"/>
      <c r="H34" s="473"/>
      <c r="I34" s="71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3"/>
      <c r="Y34" s="72"/>
      <c r="Z34" s="72"/>
      <c r="AA34" s="72"/>
      <c r="AB34" s="72"/>
      <c r="AC34" s="72"/>
      <c r="AD34" s="72"/>
      <c r="AE34" s="72"/>
      <c r="AF34" s="72"/>
      <c r="AG34" s="72"/>
      <c r="AH34" s="194"/>
      <c r="AI34" s="464"/>
      <c r="AJ34" s="393"/>
      <c r="AK34" s="75"/>
    </row>
    <row r="35" spans="1:37" s="62" customFormat="1" ht="21.95" customHeight="1" x14ac:dyDescent="0.25">
      <c r="A35" s="70" t="str">
        <f t="shared" si="1"/>
        <v/>
      </c>
      <c r="B35" s="402"/>
      <c r="C35" s="402"/>
      <c r="D35" s="402"/>
      <c r="E35" s="402"/>
      <c r="F35" s="189"/>
      <c r="G35" s="472"/>
      <c r="H35" s="473"/>
      <c r="I35" s="71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3"/>
      <c r="Y35" s="72"/>
      <c r="Z35" s="72"/>
      <c r="AA35" s="72"/>
      <c r="AB35" s="72"/>
      <c r="AC35" s="72"/>
      <c r="AD35" s="72"/>
      <c r="AE35" s="72"/>
      <c r="AF35" s="72"/>
      <c r="AG35" s="72"/>
      <c r="AH35" s="194"/>
      <c r="AI35" s="464"/>
      <c r="AJ35" s="393"/>
      <c r="AK35" s="75"/>
    </row>
    <row r="36" spans="1:37" s="62" customFormat="1" ht="21.95" customHeight="1" x14ac:dyDescent="0.25">
      <c r="A36" s="70" t="str">
        <f t="shared" si="1"/>
        <v/>
      </c>
      <c r="B36" s="402"/>
      <c r="C36" s="402"/>
      <c r="D36" s="402"/>
      <c r="E36" s="402"/>
      <c r="F36" s="189"/>
      <c r="G36" s="472"/>
      <c r="H36" s="473"/>
      <c r="I36" s="71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3"/>
      <c r="Y36" s="72"/>
      <c r="Z36" s="72"/>
      <c r="AA36" s="72"/>
      <c r="AB36" s="72"/>
      <c r="AC36" s="72"/>
      <c r="AD36" s="72"/>
      <c r="AE36" s="72"/>
      <c r="AF36" s="72"/>
      <c r="AG36" s="72"/>
      <c r="AH36" s="194"/>
      <c r="AI36" s="464"/>
      <c r="AJ36" s="393"/>
      <c r="AK36" s="75"/>
    </row>
    <row r="37" spans="1:37" s="62" customFormat="1" ht="21.95" customHeight="1" x14ac:dyDescent="0.25">
      <c r="A37" s="70" t="str">
        <f t="shared" si="1"/>
        <v/>
      </c>
      <c r="B37" s="402"/>
      <c r="C37" s="402"/>
      <c r="D37" s="402"/>
      <c r="E37" s="402"/>
      <c r="F37" s="189"/>
      <c r="G37" s="472"/>
      <c r="H37" s="473"/>
      <c r="I37" s="71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3"/>
      <c r="Y37" s="72"/>
      <c r="Z37" s="72"/>
      <c r="AA37" s="72"/>
      <c r="AB37" s="72"/>
      <c r="AC37" s="72"/>
      <c r="AD37" s="72"/>
      <c r="AE37" s="72"/>
      <c r="AF37" s="72"/>
      <c r="AG37" s="72"/>
      <c r="AH37" s="194"/>
      <c r="AI37" s="464"/>
      <c r="AJ37" s="393"/>
      <c r="AK37" s="75"/>
    </row>
    <row r="38" spans="1:37" s="62" customFormat="1" ht="21.95" customHeight="1" x14ac:dyDescent="0.25">
      <c r="A38" s="70" t="str">
        <f t="shared" si="1"/>
        <v/>
      </c>
      <c r="B38" s="402"/>
      <c r="C38" s="402"/>
      <c r="D38" s="402"/>
      <c r="E38" s="402"/>
      <c r="F38" s="189"/>
      <c r="G38" s="472"/>
      <c r="H38" s="473"/>
      <c r="I38" s="71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3"/>
      <c r="Y38" s="72"/>
      <c r="Z38" s="72"/>
      <c r="AA38" s="72"/>
      <c r="AB38" s="72"/>
      <c r="AC38" s="72"/>
      <c r="AD38" s="72"/>
      <c r="AE38" s="72"/>
      <c r="AF38" s="72"/>
      <c r="AG38" s="72"/>
      <c r="AH38" s="194"/>
      <c r="AI38" s="464"/>
      <c r="AJ38" s="393"/>
      <c r="AK38" s="75"/>
    </row>
    <row r="39" spans="1:37" s="62" customFormat="1" ht="21.95" customHeight="1" x14ac:dyDescent="0.25">
      <c r="A39" s="70" t="str">
        <f t="shared" si="1"/>
        <v/>
      </c>
      <c r="B39" s="402"/>
      <c r="C39" s="402"/>
      <c r="D39" s="402"/>
      <c r="E39" s="402"/>
      <c r="F39" s="189"/>
      <c r="G39" s="472"/>
      <c r="H39" s="473"/>
      <c r="I39" s="71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3"/>
      <c r="Y39" s="72"/>
      <c r="Z39" s="72"/>
      <c r="AA39" s="72"/>
      <c r="AB39" s="72"/>
      <c r="AC39" s="72"/>
      <c r="AD39" s="72"/>
      <c r="AE39" s="72"/>
      <c r="AF39" s="72"/>
      <c r="AG39" s="72"/>
      <c r="AH39" s="194"/>
      <c r="AI39" s="464"/>
      <c r="AJ39" s="393"/>
      <c r="AK39" s="75"/>
    </row>
    <row r="40" spans="1:37" s="62" customFormat="1" ht="21.95" customHeight="1" x14ac:dyDescent="0.25">
      <c r="A40" s="70" t="str">
        <f t="shared" si="1"/>
        <v/>
      </c>
      <c r="B40" s="402"/>
      <c r="C40" s="402"/>
      <c r="D40" s="402"/>
      <c r="E40" s="402"/>
      <c r="F40" s="189"/>
      <c r="G40" s="472"/>
      <c r="H40" s="473"/>
      <c r="I40" s="71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3"/>
      <c r="Y40" s="72"/>
      <c r="Z40" s="72"/>
      <c r="AA40" s="72"/>
      <c r="AB40" s="72"/>
      <c r="AC40" s="72"/>
      <c r="AD40" s="72"/>
      <c r="AE40" s="72"/>
      <c r="AF40" s="72"/>
      <c r="AG40" s="72"/>
      <c r="AH40" s="194"/>
      <c r="AI40" s="464"/>
      <c r="AJ40" s="393"/>
      <c r="AK40" s="75"/>
    </row>
    <row r="41" spans="1:37" s="62" customFormat="1" ht="21.95" customHeight="1" x14ac:dyDescent="0.25">
      <c r="A41" s="70" t="str">
        <f t="shared" si="1"/>
        <v/>
      </c>
      <c r="B41" s="402"/>
      <c r="C41" s="402"/>
      <c r="D41" s="402"/>
      <c r="E41" s="402"/>
      <c r="F41" s="189"/>
      <c r="G41" s="472"/>
      <c r="H41" s="473"/>
      <c r="I41" s="71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3"/>
      <c r="Y41" s="72"/>
      <c r="Z41" s="72"/>
      <c r="AA41" s="72"/>
      <c r="AB41" s="72"/>
      <c r="AC41" s="72"/>
      <c r="AD41" s="72"/>
      <c r="AE41" s="72"/>
      <c r="AF41" s="72"/>
      <c r="AG41" s="72"/>
      <c r="AH41" s="194"/>
      <c r="AI41" s="464"/>
      <c r="AJ41" s="393"/>
      <c r="AK41" s="75"/>
    </row>
    <row r="42" spans="1:37" s="62" customFormat="1" ht="21.95" customHeight="1" x14ac:dyDescent="0.25">
      <c r="A42" s="70" t="str">
        <f t="shared" si="1"/>
        <v/>
      </c>
      <c r="B42" s="402"/>
      <c r="C42" s="402"/>
      <c r="D42" s="402"/>
      <c r="E42" s="402"/>
      <c r="F42" s="189"/>
      <c r="G42" s="472"/>
      <c r="H42" s="473"/>
      <c r="I42" s="71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3"/>
      <c r="Y42" s="72"/>
      <c r="Z42" s="72"/>
      <c r="AA42" s="72"/>
      <c r="AB42" s="72"/>
      <c r="AC42" s="72"/>
      <c r="AD42" s="72"/>
      <c r="AE42" s="72"/>
      <c r="AF42" s="72"/>
      <c r="AG42" s="72"/>
      <c r="AH42" s="194"/>
      <c r="AI42" s="464"/>
      <c r="AJ42" s="393"/>
      <c r="AK42" s="75"/>
    </row>
    <row r="43" spans="1:37" s="62" customFormat="1" ht="21.95" customHeight="1" x14ac:dyDescent="0.25">
      <c r="A43" s="70" t="str">
        <f t="shared" si="1"/>
        <v/>
      </c>
      <c r="B43" s="402"/>
      <c r="C43" s="402"/>
      <c r="D43" s="402"/>
      <c r="E43" s="402"/>
      <c r="F43" s="189"/>
      <c r="G43" s="472"/>
      <c r="H43" s="473"/>
      <c r="I43" s="71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3"/>
      <c r="Y43" s="72"/>
      <c r="Z43" s="72"/>
      <c r="AA43" s="72"/>
      <c r="AB43" s="72"/>
      <c r="AC43" s="72"/>
      <c r="AD43" s="72"/>
      <c r="AE43" s="72"/>
      <c r="AF43" s="72"/>
      <c r="AG43" s="72"/>
      <c r="AH43" s="194"/>
      <c r="AI43" s="464"/>
      <c r="AJ43" s="393"/>
      <c r="AK43" s="75"/>
    </row>
    <row r="44" spans="1:37" s="62" customFormat="1" ht="21.95" customHeight="1" x14ac:dyDescent="0.25">
      <c r="A44" s="70" t="str">
        <f t="shared" si="1"/>
        <v/>
      </c>
      <c r="B44" s="402"/>
      <c r="C44" s="402"/>
      <c r="D44" s="402"/>
      <c r="E44" s="402"/>
      <c r="F44" s="189"/>
      <c r="G44" s="472"/>
      <c r="H44" s="473"/>
      <c r="I44" s="71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3"/>
      <c r="Y44" s="72"/>
      <c r="Z44" s="72"/>
      <c r="AA44" s="72"/>
      <c r="AB44" s="72"/>
      <c r="AC44" s="72"/>
      <c r="AD44" s="72"/>
      <c r="AE44" s="72"/>
      <c r="AF44" s="72"/>
      <c r="AG44" s="72"/>
      <c r="AH44" s="194"/>
      <c r="AI44" s="464"/>
      <c r="AJ44" s="393"/>
      <c r="AK44" s="75"/>
    </row>
    <row r="45" spans="1:37" s="62" customFormat="1" ht="27" customHeight="1" thickBot="1" x14ac:dyDescent="0.3">
      <c r="A45" s="483" t="s">
        <v>119</v>
      </c>
      <c r="B45" s="484"/>
      <c r="C45" s="484"/>
      <c r="D45" s="484"/>
      <c r="E45" s="484"/>
      <c r="F45" s="484"/>
      <c r="G45" s="484"/>
      <c r="H45" s="522"/>
      <c r="I45" s="207">
        <v>1</v>
      </c>
      <c r="J45" s="190">
        <v>2</v>
      </c>
      <c r="K45" s="190">
        <v>3</v>
      </c>
      <c r="L45" s="207">
        <v>4</v>
      </c>
      <c r="M45" s="190">
        <v>5</v>
      </c>
      <c r="N45" s="190">
        <v>6</v>
      </c>
      <c r="O45" s="207">
        <v>7</v>
      </c>
      <c r="P45" s="190">
        <v>8</v>
      </c>
      <c r="Q45" s="190">
        <v>9</v>
      </c>
      <c r="R45" s="207">
        <v>10</v>
      </c>
      <c r="S45" s="190">
        <v>11</v>
      </c>
      <c r="T45" s="190">
        <v>12</v>
      </c>
      <c r="U45" s="207">
        <v>13</v>
      </c>
      <c r="V45" s="190">
        <v>14</v>
      </c>
      <c r="W45" s="190">
        <v>15</v>
      </c>
      <c r="X45" s="208">
        <v>16</v>
      </c>
      <c r="Y45" s="190">
        <v>17</v>
      </c>
      <c r="Z45" s="190">
        <v>18</v>
      </c>
      <c r="AA45" s="207">
        <v>19</v>
      </c>
      <c r="AB45" s="190">
        <v>20</v>
      </c>
      <c r="AC45" s="190">
        <v>21</v>
      </c>
      <c r="AD45" s="207">
        <v>22</v>
      </c>
      <c r="AE45" s="190">
        <v>23</v>
      </c>
      <c r="AF45" s="190">
        <v>24</v>
      </c>
      <c r="AG45" s="207">
        <v>25</v>
      </c>
      <c r="AH45" s="209">
        <v>26</v>
      </c>
      <c r="AI45" s="469"/>
      <c r="AJ45" s="404"/>
      <c r="AK45" s="81"/>
    </row>
    <row r="46" spans="1:37" ht="15.75" thickBot="1" x14ac:dyDescent="0.3">
      <c r="W46" s="126"/>
      <c r="AF46" s="450"/>
      <c r="AG46" s="450"/>
      <c r="AH46" s="450"/>
      <c r="AI46" s="183"/>
      <c r="AJ46" s="152"/>
      <c r="AK46" s="169" t="s">
        <v>96</v>
      </c>
    </row>
    <row r="47" spans="1:37" s="130" customFormat="1" ht="39.950000000000003" customHeight="1" outlineLevel="1" x14ac:dyDescent="0.35">
      <c r="A47" s="347" t="s">
        <v>65</v>
      </c>
      <c r="B47" s="467"/>
      <c r="C47" s="185" t="s">
        <v>66</v>
      </c>
      <c r="D47" s="129" t="s">
        <v>67</v>
      </c>
      <c r="E47" s="467" t="s">
        <v>68</v>
      </c>
      <c r="F47" s="467"/>
      <c r="G47" s="467" t="s">
        <v>69</v>
      </c>
      <c r="H47" s="467"/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8"/>
    </row>
    <row r="48" spans="1:37" s="62" customFormat="1" ht="33" customHeight="1" outlineLevel="1" x14ac:dyDescent="0.25">
      <c r="A48" s="464"/>
      <c r="B48" s="393"/>
      <c r="C48" s="184"/>
      <c r="D48" s="184"/>
      <c r="E48" s="393"/>
      <c r="F48" s="393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5"/>
      <c r="V48" s="465"/>
      <c r="W48" s="465"/>
      <c r="X48" s="465"/>
      <c r="Y48" s="465"/>
      <c r="Z48" s="465"/>
      <c r="AA48" s="465"/>
      <c r="AB48" s="465"/>
      <c r="AC48" s="465"/>
      <c r="AD48" s="465"/>
      <c r="AE48" s="465"/>
      <c r="AF48" s="465"/>
      <c r="AG48" s="465"/>
      <c r="AH48" s="465"/>
      <c r="AI48" s="465"/>
      <c r="AJ48" s="465"/>
      <c r="AK48" s="466"/>
    </row>
    <row r="49" spans="1:37" s="62" customFormat="1" ht="33" customHeight="1" outlineLevel="1" x14ac:dyDescent="0.25">
      <c r="A49" s="464"/>
      <c r="B49" s="393"/>
      <c r="C49" s="184"/>
      <c r="D49" s="184"/>
      <c r="E49" s="393"/>
      <c r="F49" s="393"/>
      <c r="G49" s="465"/>
      <c r="H49" s="465"/>
      <c r="I49" s="465"/>
      <c r="J49" s="465"/>
      <c r="K49" s="465"/>
      <c r="L49" s="465"/>
      <c r="M49" s="465"/>
      <c r="N49" s="465"/>
      <c r="O49" s="465"/>
      <c r="P49" s="465"/>
      <c r="Q49" s="465"/>
      <c r="R49" s="465"/>
      <c r="S49" s="465"/>
      <c r="T49" s="465"/>
      <c r="U49" s="465"/>
      <c r="V49" s="465"/>
      <c r="W49" s="465"/>
      <c r="X49" s="465"/>
      <c r="Y49" s="465"/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6"/>
    </row>
    <row r="50" spans="1:37" s="62" customFormat="1" ht="33" customHeight="1" outlineLevel="1" x14ac:dyDescent="0.25">
      <c r="A50" s="464"/>
      <c r="B50" s="393"/>
      <c r="C50" s="184"/>
      <c r="D50" s="184"/>
      <c r="E50" s="393"/>
      <c r="F50" s="393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6"/>
    </row>
    <row r="51" spans="1:37" s="62" customFormat="1" ht="33" customHeight="1" outlineLevel="1" x14ac:dyDescent="0.25">
      <c r="A51" s="464"/>
      <c r="B51" s="393"/>
      <c r="C51" s="184"/>
      <c r="D51" s="184"/>
      <c r="E51" s="393"/>
      <c r="F51" s="393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465"/>
      <c r="Z51" s="465"/>
      <c r="AA51" s="465"/>
      <c r="AB51" s="465"/>
      <c r="AC51" s="465"/>
      <c r="AD51" s="465"/>
      <c r="AE51" s="465"/>
      <c r="AF51" s="465"/>
      <c r="AG51" s="465"/>
      <c r="AH51" s="465"/>
      <c r="AI51" s="465"/>
      <c r="AJ51" s="465"/>
      <c r="AK51" s="466"/>
    </row>
    <row r="52" spans="1:37" s="62" customFormat="1" ht="33" customHeight="1" outlineLevel="1" x14ac:dyDescent="0.25">
      <c r="A52" s="464"/>
      <c r="B52" s="393"/>
      <c r="C52" s="184"/>
      <c r="D52" s="184"/>
      <c r="E52" s="393"/>
      <c r="F52" s="393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465"/>
      <c r="Y52" s="465"/>
      <c r="Z52" s="465"/>
      <c r="AA52" s="465"/>
      <c r="AB52" s="465"/>
      <c r="AC52" s="465"/>
      <c r="AD52" s="465"/>
      <c r="AE52" s="465"/>
      <c r="AF52" s="465"/>
      <c r="AG52" s="465"/>
      <c r="AH52" s="465"/>
      <c r="AI52" s="465"/>
      <c r="AJ52" s="465"/>
      <c r="AK52" s="466"/>
    </row>
    <row r="53" spans="1:37" s="62" customFormat="1" ht="33" customHeight="1" outlineLevel="1" x14ac:dyDescent="0.25">
      <c r="A53" s="464"/>
      <c r="B53" s="393"/>
      <c r="C53" s="184"/>
      <c r="D53" s="184"/>
      <c r="E53" s="393"/>
      <c r="F53" s="393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465"/>
      <c r="Y53" s="465"/>
      <c r="Z53" s="465"/>
      <c r="AA53" s="465"/>
      <c r="AB53" s="465"/>
      <c r="AC53" s="465"/>
      <c r="AD53" s="465"/>
      <c r="AE53" s="465"/>
      <c r="AF53" s="465"/>
      <c r="AG53" s="465"/>
      <c r="AH53" s="465"/>
      <c r="AI53" s="465"/>
      <c r="AJ53" s="465"/>
      <c r="AK53" s="466"/>
    </row>
    <row r="54" spans="1:37" s="62" customFormat="1" ht="33" customHeight="1" outlineLevel="1" x14ac:dyDescent="0.25">
      <c r="A54" s="464"/>
      <c r="B54" s="393"/>
      <c r="C54" s="184"/>
      <c r="D54" s="184"/>
      <c r="E54" s="393"/>
      <c r="F54" s="393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5"/>
      <c r="X54" s="465"/>
      <c r="Y54" s="465"/>
      <c r="Z54" s="465"/>
      <c r="AA54" s="465"/>
      <c r="AB54" s="465"/>
      <c r="AC54" s="465"/>
      <c r="AD54" s="465"/>
      <c r="AE54" s="465"/>
      <c r="AF54" s="465"/>
      <c r="AG54" s="465"/>
      <c r="AH54" s="465"/>
      <c r="AI54" s="465"/>
      <c r="AJ54" s="465"/>
      <c r="AK54" s="466"/>
    </row>
    <row r="55" spans="1:37" s="62" customFormat="1" ht="33" customHeight="1" outlineLevel="1" x14ac:dyDescent="0.25">
      <c r="A55" s="464"/>
      <c r="B55" s="393"/>
      <c r="C55" s="184"/>
      <c r="D55" s="184"/>
      <c r="E55" s="393"/>
      <c r="F55" s="393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5"/>
      <c r="V55" s="465"/>
      <c r="W55" s="465"/>
      <c r="X55" s="465"/>
      <c r="Y55" s="465"/>
      <c r="Z55" s="465"/>
      <c r="AA55" s="465"/>
      <c r="AB55" s="465"/>
      <c r="AC55" s="465"/>
      <c r="AD55" s="465"/>
      <c r="AE55" s="465"/>
      <c r="AF55" s="465"/>
      <c r="AG55" s="465"/>
      <c r="AH55" s="465"/>
      <c r="AI55" s="465"/>
      <c r="AJ55" s="465"/>
      <c r="AK55" s="466"/>
    </row>
    <row r="56" spans="1:37" s="62" customFormat="1" ht="33" customHeight="1" outlineLevel="1" x14ac:dyDescent="0.25">
      <c r="A56" s="464"/>
      <c r="B56" s="393"/>
      <c r="C56" s="184"/>
      <c r="D56" s="184"/>
      <c r="E56" s="393"/>
      <c r="F56" s="393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5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6"/>
    </row>
    <row r="57" spans="1:37" s="62" customFormat="1" ht="33" customHeight="1" outlineLevel="1" x14ac:dyDescent="0.25">
      <c r="A57" s="464"/>
      <c r="B57" s="393"/>
      <c r="C57" s="184"/>
      <c r="D57" s="184"/>
      <c r="E57" s="393"/>
      <c r="F57" s="393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  <c r="AC57" s="465"/>
      <c r="AD57" s="465"/>
      <c r="AE57" s="465"/>
      <c r="AF57" s="465"/>
      <c r="AG57" s="465"/>
      <c r="AH57" s="465"/>
      <c r="AI57" s="465"/>
      <c r="AJ57" s="465"/>
      <c r="AK57" s="466"/>
    </row>
    <row r="58" spans="1:37" s="62" customFormat="1" ht="33" customHeight="1" outlineLevel="1" x14ac:dyDescent="0.25">
      <c r="A58" s="464"/>
      <c r="B58" s="393"/>
      <c r="C58" s="184"/>
      <c r="D58" s="184"/>
      <c r="E58" s="393"/>
      <c r="F58" s="393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5"/>
      <c r="V58" s="465"/>
      <c r="W58" s="465"/>
      <c r="X58" s="465"/>
      <c r="Y58" s="465"/>
      <c r="Z58" s="465"/>
      <c r="AA58" s="465"/>
      <c r="AB58" s="465"/>
      <c r="AC58" s="465"/>
      <c r="AD58" s="465"/>
      <c r="AE58" s="465"/>
      <c r="AF58" s="465"/>
      <c r="AG58" s="465"/>
      <c r="AH58" s="465"/>
      <c r="AI58" s="465"/>
      <c r="AJ58" s="465"/>
      <c r="AK58" s="466"/>
    </row>
    <row r="59" spans="1:37" s="62" customFormat="1" ht="33" customHeight="1" outlineLevel="1" x14ac:dyDescent="0.25">
      <c r="A59" s="464"/>
      <c r="B59" s="393"/>
      <c r="C59" s="184"/>
      <c r="D59" s="184"/>
      <c r="E59" s="393"/>
      <c r="F59" s="393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5"/>
      <c r="V59" s="465"/>
      <c r="W59" s="465"/>
      <c r="X59" s="465"/>
      <c r="Y59" s="465"/>
      <c r="Z59" s="465"/>
      <c r="AA59" s="465"/>
      <c r="AB59" s="465"/>
      <c r="AC59" s="465"/>
      <c r="AD59" s="465"/>
      <c r="AE59" s="465"/>
      <c r="AF59" s="465"/>
      <c r="AG59" s="465"/>
      <c r="AH59" s="465"/>
      <c r="AI59" s="465"/>
      <c r="AJ59" s="465"/>
      <c r="AK59" s="466"/>
    </row>
    <row r="60" spans="1:37" s="62" customFormat="1" ht="33" customHeight="1" outlineLevel="1" x14ac:dyDescent="0.25">
      <c r="A60" s="464"/>
      <c r="B60" s="393"/>
      <c r="C60" s="184"/>
      <c r="D60" s="184"/>
      <c r="E60" s="393"/>
      <c r="F60" s="393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5"/>
      <c r="V60" s="465"/>
      <c r="W60" s="465"/>
      <c r="X60" s="465"/>
      <c r="Y60" s="465"/>
      <c r="Z60" s="465"/>
      <c r="AA60" s="465"/>
      <c r="AB60" s="465"/>
      <c r="AC60" s="465"/>
      <c r="AD60" s="465"/>
      <c r="AE60" s="465"/>
      <c r="AF60" s="465"/>
      <c r="AG60" s="465"/>
      <c r="AH60" s="465"/>
      <c r="AI60" s="465"/>
      <c r="AJ60" s="465"/>
      <c r="AK60" s="466"/>
    </row>
    <row r="61" spans="1:37" s="62" customFormat="1" ht="33" customHeight="1" outlineLevel="1" x14ac:dyDescent="0.25">
      <c r="A61" s="464"/>
      <c r="B61" s="393"/>
      <c r="C61" s="184"/>
      <c r="D61" s="184"/>
      <c r="E61" s="393"/>
      <c r="F61" s="393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5"/>
      <c r="V61" s="465"/>
      <c r="W61" s="465"/>
      <c r="X61" s="465"/>
      <c r="Y61" s="465"/>
      <c r="Z61" s="465"/>
      <c r="AA61" s="465"/>
      <c r="AB61" s="465"/>
      <c r="AC61" s="465"/>
      <c r="AD61" s="465"/>
      <c r="AE61" s="465"/>
      <c r="AF61" s="465"/>
      <c r="AG61" s="465"/>
      <c r="AH61" s="465"/>
      <c r="AI61" s="465"/>
      <c r="AJ61" s="465"/>
      <c r="AK61" s="466"/>
    </row>
    <row r="62" spans="1:37" s="62" customFormat="1" ht="33" customHeight="1" outlineLevel="1" x14ac:dyDescent="0.25">
      <c r="A62" s="464"/>
      <c r="B62" s="393"/>
      <c r="C62" s="184"/>
      <c r="D62" s="184"/>
      <c r="E62" s="393"/>
      <c r="F62" s="393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5"/>
      <c r="X62" s="465"/>
      <c r="Y62" s="465"/>
      <c r="Z62" s="465"/>
      <c r="AA62" s="465"/>
      <c r="AB62" s="465"/>
      <c r="AC62" s="465"/>
      <c r="AD62" s="465"/>
      <c r="AE62" s="465"/>
      <c r="AF62" s="465"/>
      <c r="AG62" s="465"/>
      <c r="AH62" s="465"/>
      <c r="AI62" s="465"/>
      <c r="AJ62" s="465"/>
      <c r="AK62" s="466"/>
    </row>
    <row r="63" spans="1:37" s="62" customFormat="1" ht="33" customHeight="1" outlineLevel="1" x14ac:dyDescent="0.25">
      <c r="A63" s="464"/>
      <c r="B63" s="393"/>
      <c r="C63" s="184"/>
      <c r="D63" s="184"/>
      <c r="E63" s="393"/>
      <c r="F63" s="393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5"/>
      <c r="V63" s="465"/>
      <c r="W63" s="465"/>
      <c r="X63" s="465"/>
      <c r="Y63" s="465"/>
      <c r="Z63" s="465"/>
      <c r="AA63" s="465"/>
      <c r="AB63" s="465"/>
      <c r="AC63" s="465"/>
      <c r="AD63" s="465"/>
      <c r="AE63" s="465"/>
      <c r="AF63" s="465"/>
      <c r="AG63" s="465"/>
      <c r="AH63" s="465"/>
      <c r="AI63" s="465"/>
      <c r="AJ63" s="465"/>
      <c r="AK63" s="466"/>
    </row>
    <row r="64" spans="1:37" s="62" customFormat="1" ht="33" customHeight="1" outlineLevel="1" x14ac:dyDescent="0.25">
      <c r="A64" s="464"/>
      <c r="B64" s="393"/>
      <c r="C64" s="184"/>
      <c r="D64" s="184"/>
      <c r="E64" s="393"/>
      <c r="F64" s="393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5"/>
      <c r="V64" s="465"/>
      <c r="W64" s="465"/>
      <c r="X64" s="465"/>
      <c r="Y64" s="465"/>
      <c r="Z64" s="465"/>
      <c r="AA64" s="465"/>
      <c r="AB64" s="465"/>
      <c r="AC64" s="465"/>
      <c r="AD64" s="465"/>
      <c r="AE64" s="465"/>
      <c r="AF64" s="465"/>
      <c r="AG64" s="465"/>
      <c r="AH64" s="465"/>
      <c r="AI64" s="465"/>
      <c r="AJ64" s="465"/>
      <c r="AK64" s="466"/>
    </row>
    <row r="65" spans="1:37" s="62" customFormat="1" ht="33" customHeight="1" outlineLevel="1" x14ac:dyDescent="0.25">
      <c r="A65" s="464"/>
      <c r="B65" s="393"/>
      <c r="C65" s="184"/>
      <c r="D65" s="184"/>
      <c r="E65" s="393"/>
      <c r="F65" s="393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  <c r="AC65" s="465"/>
      <c r="AD65" s="465"/>
      <c r="AE65" s="465"/>
      <c r="AF65" s="465"/>
      <c r="AG65" s="465"/>
      <c r="AH65" s="465"/>
      <c r="AI65" s="465"/>
      <c r="AJ65" s="465"/>
      <c r="AK65" s="466"/>
    </row>
    <row r="66" spans="1:37" s="62" customFormat="1" ht="33" customHeight="1" outlineLevel="1" x14ac:dyDescent="0.25">
      <c r="A66" s="464"/>
      <c r="B66" s="393"/>
      <c r="C66" s="184"/>
      <c r="D66" s="184"/>
      <c r="E66" s="393"/>
      <c r="F66" s="393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5"/>
      <c r="AB66" s="465"/>
      <c r="AC66" s="465"/>
      <c r="AD66" s="465"/>
      <c r="AE66" s="465"/>
      <c r="AF66" s="465"/>
      <c r="AG66" s="465"/>
      <c r="AH66" s="465"/>
      <c r="AI66" s="465"/>
      <c r="AJ66" s="465"/>
      <c r="AK66" s="466"/>
    </row>
    <row r="67" spans="1:37" s="62" customFormat="1" ht="33" customHeight="1" outlineLevel="1" x14ac:dyDescent="0.25">
      <c r="A67" s="464"/>
      <c r="B67" s="393"/>
      <c r="C67" s="184"/>
      <c r="D67" s="184"/>
      <c r="E67" s="393"/>
      <c r="F67" s="393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465"/>
      <c r="AA67" s="465"/>
      <c r="AB67" s="465"/>
      <c r="AC67" s="465"/>
      <c r="AD67" s="465"/>
      <c r="AE67" s="465"/>
      <c r="AF67" s="465"/>
      <c r="AG67" s="465"/>
      <c r="AH67" s="465"/>
      <c r="AI67" s="465"/>
      <c r="AJ67" s="465"/>
      <c r="AK67" s="466"/>
    </row>
    <row r="68" spans="1:37" s="62" customFormat="1" ht="33" customHeight="1" outlineLevel="1" x14ac:dyDescent="0.25">
      <c r="A68" s="464"/>
      <c r="B68" s="393"/>
      <c r="C68" s="184"/>
      <c r="D68" s="184"/>
      <c r="E68" s="393"/>
      <c r="F68" s="393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5"/>
      <c r="V68" s="465"/>
      <c r="W68" s="465"/>
      <c r="X68" s="465"/>
      <c r="Y68" s="465"/>
      <c r="Z68" s="465"/>
      <c r="AA68" s="465"/>
      <c r="AB68" s="465"/>
      <c r="AC68" s="465"/>
      <c r="AD68" s="465"/>
      <c r="AE68" s="465"/>
      <c r="AF68" s="465"/>
      <c r="AG68" s="465"/>
      <c r="AH68" s="465"/>
      <c r="AI68" s="465"/>
      <c r="AJ68" s="465"/>
      <c r="AK68" s="466"/>
    </row>
    <row r="69" spans="1:37" s="62" customFormat="1" ht="33" customHeight="1" outlineLevel="1" x14ac:dyDescent="0.25">
      <c r="A69" s="464"/>
      <c r="B69" s="393"/>
      <c r="C69" s="184"/>
      <c r="D69" s="184"/>
      <c r="E69" s="393"/>
      <c r="F69" s="393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5"/>
      <c r="V69" s="465"/>
      <c r="W69" s="465"/>
      <c r="X69" s="465"/>
      <c r="Y69" s="465"/>
      <c r="Z69" s="465"/>
      <c r="AA69" s="465"/>
      <c r="AB69" s="465"/>
      <c r="AC69" s="465"/>
      <c r="AD69" s="465"/>
      <c r="AE69" s="465"/>
      <c r="AF69" s="465"/>
      <c r="AG69" s="465"/>
      <c r="AH69" s="465"/>
      <c r="AI69" s="465"/>
      <c r="AJ69" s="465"/>
      <c r="AK69" s="466"/>
    </row>
    <row r="70" spans="1:37" s="62" customFormat="1" ht="33" customHeight="1" outlineLevel="1" x14ac:dyDescent="0.25">
      <c r="A70" s="464"/>
      <c r="B70" s="393"/>
      <c r="C70" s="184"/>
      <c r="D70" s="184"/>
      <c r="E70" s="393"/>
      <c r="F70" s="393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5"/>
      <c r="V70" s="465"/>
      <c r="W70" s="465"/>
      <c r="X70" s="465"/>
      <c r="Y70" s="465"/>
      <c r="Z70" s="465"/>
      <c r="AA70" s="465"/>
      <c r="AB70" s="465"/>
      <c r="AC70" s="465"/>
      <c r="AD70" s="465"/>
      <c r="AE70" s="465"/>
      <c r="AF70" s="465"/>
      <c r="AG70" s="465"/>
      <c r="AH70" s="465"/>
      <c r="AI70" s="465"/>
      <c r="AJ70" s="465"/>
      <c r="AK70" s="466"/>
    </row>
    <row r="71" spans="1:37" s="62" customFormat="1" ht="33" customHeight="1" outlineLevel="1" x14ac:dyDescent="0.25">
      <c r="A71" s="464"/>
      <c r="B71" s="393"/>
      <c r="C71" s="184"/>
      <c r="D71" s="184"/>
      <c r="E71" s="393"/>
      <c r="F71" s="393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  <c r="AC71" s="465"/>
      <c r="AD71" s="465"/>
      <c r="AE71" s="465"/>
      <c r="AF71" s="465"/>
      <c r="AG71" s="465"/>
      <c r="AH71" s="465"/>
      <c r="AI71" s="465"/>
      <c r="AJ71" s="465"/>
      <c r="AK71" s="466"/>
    </row>
    <row r="72" spans="1:37" s="62" customFormat="1" ht="33" customHeight="1" outlineLevel="1" x14ac:dyDescent="0.25">
      <c r="A72" s="464"/>
      <c r="B72" s="393"/>
      <c r="C72" s="184"/>
      <c r="D72" s="184"/>
      <c r="E72" s="393"/>
      <c r="F72" s="393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5"/>
      <c r="V72" s="465"/>
      <c r="W72" s="465"/>
      <c r="X72" s="465"/>
      <c r="Y72" s="465"/>
      <c r="Z72" s="465"/>
      <c r="AA72" s="465"/>
      <c r="AB72" s="465"/>
      <c r="AC72" s="465"/>
      <c r="AD72" s="465"/>
      <c r="AE72" s="465"/>
      <c r="AF72" s="465"/>
      <c r="AG72" s="465"/>
      <c r="AH72" s="465"/>
      <c r="AI72" s="465"/>
      <c r="AJ72" s="465"/>
      <c r="AK72" s="466"/>
    </row>
    <row r="73" spans="1:37" s="62" customFormat="1" ht="33" customHeight="1" outlineLevel="1" x14ac:dyDescent="0.25">
      <c r="A73" s="464"/>
      <c r="B73" s="393"/>
      <c r="C73" s="184"/>
      <c r="D73" s="184"/>
      <c r="E73" s="393"/>
      <c r="F73" s="393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5"/>
      <c r="V73" s="465"/>
      <c r="W73" s="465"/>
      <c r="X73" s="465"/>
      <c r="Y73" s="465"/>
      <c r="Z73" s="465"/>
      <c r="AA73" s="465"/>
      <c r="AB73" s="465"/>
      <c r="AC73" s="465"/>
      <c r="AD73" s="465"/>
      <c r="AE73" s="465"/>
      <c r="AF73" s="465"/>
      <c r="AG73" s="465"/>
      <c r="AH73" s="465"/>
      <c r="AI73" s="465"/>
      <c r="AJ73" s="465"/>
      <c r="AK73" s="466"/>
    </row>
    <row r="74" spans="1:37" s="62" customFormat="1" ht="33" customHeight="1" outlineLevel="1" x14ac:dyDescent="0.25">
      <c r="A74" s="464"/>
      <c r="B74" s="393"/>
      <c r="C74" s="184"/>
      <c r="D74" s="184"/>
      <c r="E74" s="393"/>
      <c r="F74" s="393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5"/>
      <c r="V74" s="465"/>
      <c r="W74" s="465"/>
      <c r="X74" s="465"/>
      <c r="Y74" s="465"/>
      <c r="Z74" s="465"/>
      <c r="AA74" s="465"/>
      <c r="AB74" s="465"/>
      <c r="AC74" s="465"/>
      <c r="AD74" s="465"/>
      <c r="AE74" s="465"/>
      <c r="AF74" s="465"/>
      <c r="AG74" s="465"/>
      <c r="AH74" s="465"/>
      <c r="AI74" s="465"/>
      <c r="AJ74" s="465"/>
      <c r="AK74" s="466"/>
    </row>
    <row r="75" spans="1:37" s="62" customFormat="1" ht="33" customHeight="1" outlineLevel="1" x14ac:dyDescent="0.25">
      <c r="A75" s="464"/>
      <c r="B75" s="393"/>
      <c r="C75" s="184"/>
      <c r="D75" s="184"/>
      <c r="E75" s="393"/>
      <c r="F75" s="393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5"/>
      <c r="V75" s="465"/>
      <c r="W75" s="465"/>
      <c r="X75" s="465"/>
      <c r="Y75" s="465"/>
      <c r="Z75" s="465"/>
      <c r="AA75" s="465"/>
      <c r="AB75" s="465"/>
      <c r="AC75" s="465"/>
      <c r="AD75" s="465"/>
      <c r="AE75" s="465"/>
      <c r="AF75" s="465"/>
      <c r="AG75" s="465"/>
      <c r="AH75" s="465"/>
      <c r="AI75" s="465"/>
      <c r="AJ75" s="465"/>
      <c r="AK75" s="466"/>
    </row>
    <row r="76" spans="1:37" s="62" customFormat="1" ht="33" customHeight="1" outlineLevel="1" x14ac:dyDescent="0.25">
      <c r="A76" s="464"/>
      <c r="B76" s="393"/>
      <c r="C76" s="184"/>
      <c r="D76" s="184"/>
      <c r="E76" s="393"/>
      <c r="F76" s="393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5"/>
      <c r="V76" s="465"/>
      <c r="W76" s="465"/>
      <c r="X76" s="465"/>
      <c r="Y76" s="465"/>
      <c r="Z76" s="465"/>
      <c r="AA76" s="465"/>
      <c r="AB76" s="465"/>
      <c r="AC76" s="465"/>
      <c r="AD76" s="465"/>
      <c r="AE76" s="465"/>
      <c r="AF76" s="465"/>
      <c r="AG76" s="465"/>
      <c r="AH76" s="465"/>
      <c r="AI76" s="465"/>
      <c r="AJ76" s="465"/>
      <c r="AK76" s="466"/>
    </row>
    <row r="77" spans="1:37" s="62" customFormat="1" ht="33" customHeight="1" outlineLevel="1" thickBot="1" x14ac:dyDescent="0.3">
      <c r="A77" s="469"/>
      <c r="B77" s="404"/>
      <c r="C77" s="182"/>
      <c r="D77" s="182"/>
      <c r="E77" s="404"/>
      <c r="F77" s="404"/>
      <c r="G77" s="470"/>
      <c r="H77" s="470"/>
      <c r="I77" s="470"/>
      <c r="J77" s="470"/>
      <c r="K77" s="470"/>
      <c r="L77" s="470"/>
      <c r="M77" s="470"/>
      <c r="N77" s="470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1"/>
    </row>
    <row r="78" spans="1:37" outlineLevel="1" x14ac:dyDescent="0.25">
      <c r="W78" s="126"/>
      <c r="AF78" s="450"/>
      <c r="AG78" s="450"/>
      <c r="AH78" s="450"/>
      <c r="AI78" s="183"/>
      <c r="AJ78" s="153"/>
      <c r="AK78" s="133" t="str">
        <f>AK46</f>
        <v>8517-0000</v>
      </c>
    </row>
    <row r="79" spans="1:37" ht="10.5" customHeight="1" x14ac:dyDescent="0.25">
      <c r="A79" s="341" t="str">
        <f>A1</f>
        <v>KPS - Audit produktu</v>
      </c>
      <c r="B79" s="341"/>
      <c r="C79" s="341"/>
      <c r="D79" s="341"/>
      <c r="E79" s="341"/>
      <c r="F79" s="341"/>
      <c r="G79" s="341"/>
      <c r="H79" s="341"/>
      <c r="I79" s="341"/>
      <c r="J79" s="341"/>
      <c r="K79" s="341"/>
      <c r="L79" s="341"/>
      <c r="M79" s="341"/>
      <c r="N79" s="341"/>
      <c r="O79" s="341"/>
      <c r="P79" s="341"/>
      <c r="Q79" s="343" t="s">
        <v>21</v>
      </c>
      <c r="R79" s="343"/>
      <c r="S79" s="343"/>
      <c r="T79" s="343"/>
      <c r="U79" s="343"/>
      <c r="V79" s="343"/>
      <c r="W79" s="343"/>
      <c r="X79" s="345" t="s">
        <v>22</v>
      </c>
      <c r="Y79" s="345"/>
      <c r="Z79" s="345"/>
      <c r="AA79" s="345"/>
      <c r="AB79" s="345"/>
      <c r="AC79" s="345"/>
      <c r="AD79" s="345"/>
      <c r="AE79" s="345"/>
      <c r="AF79" s="345"/>
      <c r="AG79" s="345"/>
      <c r="AH79" s="345"/>
      <c r="AI79" s="345"/>
      <c r="AJ79" s="345"/>
      <c r="AK79" s="345"/>
    </row>
    <row r="80" spans="1:37" ht="16.5" customHeight="1" x14ac:dyDescent="0.25">
      <c r="A80" s="341"/>
      <c r="B80" s="341"/>
      <c r="C80" s="341"/>
      <c r="D80" s="341"/>
      <c r="E80" s="341"/>
      <c r="F80" s="341"/>
      <c r="G80" s="341"/>
      <c r="H80" s="341"/>
      <c r="I80" s="341"/>
      <c r="J80" s="341"/>
      <c r="K80" s="341"/>
      <c r="L80" s="341"/>
      <c r="M80" s="341"/>
      <c r="N80" s="341"/>
      <c r="O80" s="341"/>
      <c r="P80" s="341"/>
      <c r="Q80" s="343"/>
      <c r="R80" s="343"/>
      <c r="S80" s="343"/>
      <c r="T80" s="343"/>
      <c r="U80" s="343"/>
      <c r="V80" s="343"/>
      <c r="W80" s="343"/>
      <c r="X80" s="345"/>
      <c r="Y80" s="345"/>
      <c r="Z80" s="345"/>
      <c r="AA80" s="345"/>
      <c r="AB80" s="345"/>
      <c r="AC80" s="345"/>
      <c r="AD80" s="345"/>
      <c r="AE80" s="345"/>
      <c r="AF80" s="345"/>
      <c r="AG80" s="345"/>
      <c r="AH80" s="345"/>
      <c r="AI80" s="345"/>
      <c r="AJ80" s="345"/>
      <c r="AK80" s="345"/>
    </row>
    <row r="81" spans="1:40" ht="12.75" customHeight="1" thickBot="1" x14ac:dyDescent="0.3">
      <c r="A81" s="342"/>
      <c r="B81" s="342"/>
      <c r="C81" s="342"/>
      <c r="D81" s="342"/>
      <c r="E81" s="342"/>
      <c r="F81" s="342"/>
      <c r="G81" s="342"/>
      <c r="H81" s="342"/>
      <c r="I81" s="342"/>
      <c r="J81" s="342"/>
      <c r="K81" s="342"/>
      <c r="L81" s="342"/>
      <c r="M81" s="342"/>
      <c r="N81" s="342"/>
      <c r="O81" s="342"/>
      <c r="P81" s="342"/>
      <c r="Q81" s="344"/>
      <c r="R81" s="344"/>
      <c r="S81" s="344"/>
      <c r="T81" s="344"/>
      <c r="U81" s="344"/>
      <c r="V81" s="344"/>
      <c r="W81" s="344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  <c r="AI81" s="346"/>
      <c r="AJ81" s="346"/>
      <c r="AK81" s="346"/>
    </row>
    <row r="82" spans="1:40" s="51" customFormat="1" ht="39.950000000000003" customHeight="1" x14ac:dyDescent="0.35">
      <c r="A82" s="347" t="s">
        <v>23</v>
      </c>
      <c r="B82" s="348"/>
      <c r="C82" s="348"/>
      <c r="D82" s="349">
        <f>D4</f>
        <v>0</v>
      </c>
      <c r="E82" s="349"/>
      <c r="F82" s="349"/>
      <c r="G82" s="349"/>
      <c r="H82" s="349"/>
      <c r="I82" s="349"/>
      <c r="J82" s="349"/>
      <c r="K82" s="349"/>
      <c r="L82" s="349"/>
      <c r="M82" s="349"/>
      <c r="N82" s="348" t="s">
        <v>24</v>
      </c>
      <c r="O82" s="350"/>
      <c r="P82" s="350"/>
      <c r="Q82" s="350"/>
      <c r="R82" s="350"/>
      <c r="S82" s="351">
        <f>S4</f>
        <v>0</v>
      </c>
      <c r="T82" s="351"/>
      <c r="U82" s="351"/>
      <c r="V82" s="351"/>
      <c r="W82" s="352" t="s">
        <v>25</v>
      </c>
      <c r="X82" s="353"/>
      <c r="Y82" s="353"/>
      <c r="Z82" s="353"/>
      <c r="AA82" s="353"/>
      <c r="AB82" s="353"/>
      <c r="AC82" s="359" t="str">
        <f>AC4</f>
        <v>Ne</v>
      </c>
      <c r="AD82" s="359"/>
      <c r="AE82" s="360"/>
      <c r="AF82" s="348" t="s">
        <v>27</v>
      </c>
      <c r="AG82" s="348"/>
      <c r="AH82" s="348"/>
      <c r="AI82" s="331">
        <f>AI4</f>
        <v>0</v>
      </c>
      <c r="AJ82" s="331"/>
      <c r="AK82" s="332"/>
      <c r="AN82" s="52" t="s">
        <v>28</v>
      </c>
    </row>
    <row r="83" spans="1:40" s="51" customFormat="1" ht="39.950000000000003" customHeight="1" x14ac:dyDescent="0.25">
      <c r="A83" s="333" t="s">
        <v>29</v>
      </c>
      <c r="B83" s="334"/>
      <c r="C83" s="334"/>
      <c r="D83" s="335">
        <f>D5</f>
        <v>0</v>
      </c>
      <c r="E83" s="335"/>
      <c r="F83" s="335"/>
      <c r="G83" s="335"/>
      <c r="H83" s="335"/>
      <c r="I83" s="335"/>
      <c r="J83" s="335"/>
      <c r="K83" s="335"/>
      <c r="L83" s="335"/>
      <c r="M83" s="335"/>
      <c r="N83" s="334" t="s">
        <v>30</v>
      </c>
      <c r="O83" s="336"/>
      <c r="P83" s="336"/>
      <c r="Q83" s="336"/>
      <c r="R83" s="336"/>
      <c r="S83" s="337">
        <f ca="1">S5</f>
        <v>44397</v>
      </c>
      <c r="T83" s="338"/>
      <c r="U83" s="338"/>
      <c r="V83" s="338"/>
      <c r="W83" s="539"/>
      <c r="X83" s="540"/>
      <c r="Y83" s="540"/>
      <c r="Z83" s="540"/>
      <c r="AA83" s="540"/>
      <c r="AB83" s="540"/>
      <c r="AC83" s="543"/>
      <c r="AD83" s="543"/>
      <c r="AE83" s="544"/>
      <c r="AF83" s="334" t="s">
        <v>31</v>
      </c>
      <c r="AG83" s="334"/>
      <c r="AH83" s="334"/>
      <c r="AI83" s="339">
        <f>AI5</f>
        <v>0</v>
      </c>
      <c r="AJ83" s="339"/>
      <c r="AK83" s="340"/>
      <c r="AN83" s="51" t="s">
        <v>33</v>
      </c>
    </row>
    <row r="84" spans="1:40" s="51" customFormat="1" ht="39.950000000000003" customHeight="1" thickBot="1" x14ac:dyDescent="0.3">
      <c r="A84" s="378" t="s">
        <v>34</v>
      </c>
      <c r="B84" s="379"/>
      <c r="C84" s="53" t="s">
        <v>35</v>
      </c>
      <c r="D84" s="536">
        <f>D6</f>
        <v>0</v>
      </c>
      <c r="E84" s="537"/>
      <c r="F84" s="537"/>
      <c r="G84" s="537"/>
      <c r="H84" s="537"/>
      <c r="I84" s="537"/>
      <c r="J84" s="537"/>
      <c r="K84" s="537"/>
      <c r="L84" s="537"/>
      <c r="M84" s="537"/>
      <c r="N84" s="537"/>
      <c r="O84" s="537"/>
      <c r="P84" s="537"/>
      <c r="Q84" s="537"/>
      <c r="R84" s="537"/>
      <c r="S84" s="537"/>
      <c r="T84" s="537"/>
      <c r="U84" s="537"/>
      <c r="V84" s="538"/>
      <c r="W84" s="541"/>
      <c r="X84" s="542"/>
      <c r="Y84" s="542"/>
      <c r="Z84" s="542"/>
      <c r="AA84" s="542"/>
      <c r="AB84" s="542"/>
      <c r="AC84" s="545"/>
      <c r="AD84" s="545"/>
      <c r="AE84" s="546"/>
      <c r="AF84" s="372" t="s">
        <v>41</v>
      </c>
      <c r="AG84" s="372"/>
      <c r="AH84" s="372"/>
      <c r="AI84" s="383">
        <f>AI6</f>
        <v>0</v>
      </c>
      <c r="AJ84" s="383"/>
      <c r="AK84" s="400"/>
      <c r="AN84" s="51" t="s">
        <v>26</v>
      </c>
    </row>
    <row r="85" spans="1:40" s="61" customFormat="1" ht="8.25" customHeight="1" thickBot="1" x14ac:dyDescent="0.3">
      <c r="A85" s="55"/>
      <c r="B85" s="55"/>
      <c r="C85" s="56"/>
      <c r="D85" s="57"/>
      <c r="E85" s="57"/>
      <c r="F85" s="58"/>
      <c r="G85" s="58"/>
      <c r="H85" s="58"/>
      <c r="I85" s="57"/>
      <c r="J85" s="57"/>
      <c r="K85" s="57"/>
      <c r="L85" s="57"/>
      <c r="M85" s="57"/>
      <c r="N85" s="55"/>
      <c r="O85" s="59"/>
      <c r="P85" s="59"/>
      <c r="Q85" s="59"/>
      <c r="R85" s="59"/>
      <c r="S85" s="56"/>
      <c r="T85" s="56"/>
      <c r="U85" s="56"/>
      <c r="V85" s="56"/>
      <c r="W85" s="59"/>
      <c r="X85" s="59"/>
      <c r="Y85" s="57"/>
      <c r="Z85" s="57"/>
      <c r="AA85" s="57"/>
      <c r="AB85" s="57"/>
      <c r="AC85" s="57"/>
      <c r="AD85" s="57"/>
      <c r="AE85" s="57"/>
      <c r="AF85" s="55"/>
      <c r="AG85" s="55"/>
      <c r="AH85" s="55"/>
      <c r="AI85" s="60"/>
      <c r="AJ85" s="60"/>
      <c r="AK85" s="60"/>
    </row>
    <row r="86" spans="1:40" s="62" customFormat="1" ht="35.25" customHeight="1" x14ac:dyDescent="0.25">
      <c r="A86" s="347" t="s">
        <v>42</v>
      </c>
      <c r="B86" s="384" t="s">
        <v>43</v>
      </c>
      <c r="C86" s="385"/>
      <c r="D86" s="385"/>
      <c r="E86" s="134" t="s">
        <v>82</v>
      </c>
      <c r="F86" s="388" t="s">
        <v>84</v>
      </c>
      <c r="G86" s="366" t="s">
        <v>44</v>
      </c>
      <c r="H86" s="367"/>
      <c r="I86" s="347" t="s">
        <v>45</v>
      </c>
      <c r="J86" s="348"/>
      <c r="K86" s="348"/>
      <c r="L86" s="348"/>
      <c r="M86" s="348"/>
      <c r="N86" s="348"/>
      <c r="O86" s="348"/>
      <c r="P86" s="348"/>
      <c r="Q86" s="348"/>
      <c r="R86" s="348"/>
      <c r="S86" s="348"/>
      <c r="T86" s="348"/>
      <c r="U86" s="348"/>
      <c r="V86" s="348"/>
      <c r="W86" s="348"/>
      <c r="X86" s="348"/>
      <c r="Y86" s="348"/>
      <c r="Z86" s="348"/>
      <c r="AA86" s="348"/>
      <c r="AB86" s="348"/>
      <c r="AC86" s="348"/>
      <c r="AD86" s="348"/>
      <c r="AE86" s="348"/>
      <c r="AF86" s="348"/>
      <c r="AG86" s="348"/>
      <c r="AH86" s="370"/>
      <c r="AI86" s="549" t="s">
        <v>46</v>
      </c>
      <c r="AJ86" s="374"/>
      <c r="AK86" s="375"/>
    </row>
    <row r="87" spans="1:40" s="62" customFormat="1" ht="33.75" customHeight="1" thickBot="1" x14ac:dyDescent="0.3">
      <c r="A87" s="547"/>
      <c r="B87" s="386"/>
      <c r="C87" s="387"/>
      <c r="D87" s="387"/>
      <c r="E87" s="186" t="str">
        <f>MID(KI!B82,1,12)</f>
        <v/>
      </c>
      <c r="F87" s="389"/>
      <c r="G87" s="368"/>
      <c r="H87" s="369"/>
      <c r="I87" s="371"/>
      <c r="J87" s="372"/>
      <c r="K87" s="372"/>
      <c r="L87" s="372"/>
      <c r="M87" s="372"/>
      <c r="N87" s="372"/>
      <c r="O87" s="372"/>
      <c r="P87" s="372"/>
      <c r="Q87" s="372"/>
      <c r="R87" s="372"/>
      <c r="S87" s="372"/>
      <c r="T87" s="372"/>
      <c r="U87" s="372"/>
      <c r="V87" s="372"/>
      <c r="W87" s="372"/>
      <c r="X87" s="372"/>
      <c r="Y87" s="372"/>
      <c r="Z87" s="372"/>
      <c r="AA87" s="372"/>
      <c r="AB87" s="372"/>
      <c r="AC87" s="372"/>
      <c r="AD87" s="372"/>
      <c r="AE87" s="372"/>
      <c r="AF87" s="372"/>
      <c r="AG87" s="372"/>
      <c r="AH87" s="373"/>
      <c r="AI87" s="550" t="s">
        <v>47</v>
      </c>
      <c r="AJ87" s="377"/>
      <c r="AK87" s="63" t="s">
        <v>48</v>
      </c>
      <c r="AN87" s="62" t="s">
        <v>32</v>
      </c>
    </row>
    <row r="88" spans="1:40" s="62" customFormat="1" ht="21.95" customHeight="1" x14ac:dyDescent="0.25">
      <c r="A88" s="523" t="s">
        <v>119</v>
      </c>
      <c r="B88" s="524"/>
      <c r="C88" s="524"/>
      <c r="D88" s="524"/>
      <c r="E88" s="524"/>
      <c r="F88" s="524"/>
      <c r="G88" s="524"/>
      <c r="H88" s="524"/>
      <c r="I88" s="195">
        <v>1</v>
      </c>
      <c r="J88" s="196">
        <v>2</v>
      </c>
      <c r="K88" s="196">
        <v>3</v>
      </c>
      <c r="L88" s="197">
        <v>4</v>
      </c>
      <c r="M88" s="196">
        <v>5</v>
      </c>
      <c r="N88" s="196">
        <v>6</v>
      </c>
      <c r="O88" s="197">
        <v>7</v>
      </c>
      <c r="P88" s="196">
        <v>8</v>
      </c>
      <c r="Q88" s="196">
        <v>9</v>
      </c>
      <c r="R88" s="197">
        <v>10</v>
      </c>
      <c r="S88" s="196">
        <v>11</v>
      </c>
      <c r="T88" s="196">
        <v>12</v>
      </c>
      <c r="U88" s="197">
        <v>13</v>
      </c>
      <c r="V88" s="196">
        <v>14</v>
      </c>
      <c r="W88" s="196">
        <v>15</v>
      </c>
      <c r="X88" s="198">
        <v>16</v>
      </c>
      <c r="Y88" s="196">
        <v>17</v>
      </c>
      <c r="Z88" s="196">
        <v>18</v>
      </c>
      <c r="AA88" s="197">
        <v>19</v>
      </c>
      <c r="AB88" s="196">
        <v>20</v>
      </c>
      <c r="AC88" s="196">
        <v>21</v>
      </c>
      <c r="AD88" s="197">
        <v>22</v>
      </c>
      <c r="AE88" s="196">
        <v>23</v>
      </c>
      <c r="AF88" s="196">
        <v>24</v>
      </c>
      <c r="AG88" s="197">
        <v>25</v>
      </c>
      <c r="AH88" s="199">
        <v>26</v>
      </c>
      <c r="AI88" s="464"/>
      <c r="AJ88" s="393"/>
      <c r="AK88" s="75"/>
      <c r="AN88" s="62" t="s">
        <v>49</v>
      </c>
    </row>
    <row r="89" spans="1:40" s="62" customFormat="1" ht="21.95" customHeight="1" x14ac:dyDescent="0.25">
      <c r="A89" s="523" t="s">
        <v>120</v>
      </c>
      <c r="B89" s="524"/>
      <c r="C89" s="524"/>
      <c r="D89" s="524"/>
      <c r="E89" s="524"/>
      <c r="F89" s="524"/>
      <c r="G89" s="524"/>
      <c r="H89" s="524"/>
      <c r="I89" s="200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3"/>
      <c r="Y89" s="72"/>
      <c r="Z89" s="72"/>
      <c r="AA89" s="72"/>
      <c r="AB89" s="72"/>
      <c r="AC89" s="72"/>
      <c r="AD89" s="72"/>
      <c r="AE89" s="72"/>
      <c r="AF89" s="72"/>
      <c r="AG89" s="72"/>
      <c r="AH89" s="74"/>
      <c r="AI89" s="551"/>
      <c r="AJ89" s="552"/>
      <c r="AK89" s="88"/>
      <c r="AN89" s="62" t="s">
        <v>50</v>
      </c>
    </row>
    <row r="90" spans="1:40" s="62" customFormat="1" ht="21.95" customHeight="1" x14ac:dyDescent="0.25">
      <c r="A90" s="523" t="s">
        <v>121</v>
      </c>
      <c r="B90" s="524"/>
      <c r="C90" s="524"/>
      <c r="D90" s="524"/>
      <c r="E90" s="524"/>
      <c r="F90" s="524"/>
      <c r="G90" s="524"/>
      <c r="H90" s="524"/>
      <c r="I90" s="200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3"/>
      <c r="Y90" s="72"/>
      <c r="Z90" s="72"/>
      <c r="AA90" s="72"/>
      <c r="AB90" s="72"/>
      <c r="AC90" s="72"/>
      <c r="AD90" s="72"/>
      <c r="AE90" s="72"/>
      <c r="AF90" s="72"/>
      <c r="AG90" s="72"/>
      <c r="AH90" s="74"/>
      <c r="AI90" s="464"/>
      <c r="AJ90" s="393"/>
      <c r="AK90" s="75"/>
      <c r="AN90" s="62" t="s">
        <v>51</v>
      </c>
    </row>
    <row r="91" spans="1:40" s="62" customFormat="1" ht="21.95" customHeight="1" x14ac:dyDescent="0.25">
      <c r="A91" s="523" t="s">
        <v>122</v>
      </c>
      <c r="B91" s="524"/>
      <c r="C91" s="524"/>
      <c r="D91" s="524"/>
      <c r="E91" s="524"/>
      <c r="F91" s="524"/>
      <c r="G91" s="524"/>
      <c r="H91" s="524"/>
      <c r="I91" s="200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3"/>
      <c r="Y91" s="72"/>
      <c r="Z91" s="72"/>
      <c r="AA91" s="72"/>
      <c r="AB91" s="72"/>
      <c r="AC91" s="72"/>
      <c r="AD91" s="72"/>
      <c r="AE91" s="72"/>
      <c r="AF91" s="72"/>
      <c r="AG91" s="72"/>
      <c r="AH91" s="74"/>
      <c r="AI91" s="464"/>
      <c r="AJ91" s="393"/>
      <c r="AK91" s="75"/>
    </row>
    <row r="92" spans="1:40" s="62" customFormat="1" ht="21.95" customHeight="1" x14ac:dyDescent="0.25">
      <c r="A92" s="525" t="s">
        <v>123</v>
      </c>
      <c r="B92" s="526"/>
      <c r="C92" s="526"/>
      <c r="D92" s="526"/>
      <c r="E92" s="526"/>
      <c r="F92" s="526"/>
      <c r="G92" s="526"/>
      <c r="H92" s="526"/>
      <c r="I92" s="531"/>
      <c r="J92" s="519"/>
      <c r="K92" s="519"/>
      <c r="L92" s="519"/>
      <c r="M92" s="519"/>
      <c r="N92" s="519"/>
      <c r="O92" s="519"/>
      <c r="P92" s="519"/>
      <c r="Q92" s="519"/>
      <c r="R92" s="519"/>
      <c r="S92" s="519"/>
      <c r="T92" s="519"/>
      <c r="U92" s="519"/>
      <c r="V92" s="519"/>
      <c r="W92" s="519"/>
      <c r="X92" s="553"/>
      <c r="Y92" s="519"/>
      <c r="Z92" s="519"/>
      <c r="AA92" s="519"/>
      <c r="AB92" s="519"/>
      <c r="AC92" s="519"/>
      <c r="AD92" s="519"/>
      <c r="AE92" s="519"/>
      <c r="AF92" s="519"/>
      <c r="AG92" s="519"/>
      <c r="AH92" s="556"/>
      <c r="AI92" s="503"/>
      <c r="AJ92" s="415"/>
      <c r="AK92" s="508"/>
    </row>
    <row r="93" spans="1:40" s="62" customFormat="1" ht="21.95" customHeight="1" x14ac:dyDescent="0.25">
      <c r="A93" s="527"/>
      <c r="B93" s="528"/>
      <c r="C93" s="528"/>
      <c r="D93" s="528"/>
      <c r="E93" s="528"/>
      <c r="F93" s="528"/>
      <c r="G93" s="528"/>
      <c r="H93" s="528"/>
      <c r="I93" s="532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54"/>
      <c r="Y93" s="520"/>
      <c r="Z93" s="520"/>
      <c r="AA93" s="520"/>
      <c r="AB93" s="520"/>
      <c r="AC93" s="520"/>
      <c r="AD93" s="520"/>
      <c r="AE93" s="520"/>
      <c r="AF93" s="520"/>
      <c r="AG93" s="520"/>
      <c r="AH93" s="557"/>
      <c r="AI93" s="504"/>
      <c r="AJ93" s="505"/>
      <c r="AK93" s="509"/>
    </row>
    <row r="94" spans="1:40" s="62" customFormat="1" ht="21.95" customHeight="1" x14ac:dyDescent="0.25">
      <c r="A94" s="527"/>
      <c r="B94" s="528"/>
      <c r="C94" s="528"/>
      <c r="D94" s="528"/>
      <c r="E94" s="528"/>
      <c r="F94" s="528"/>
      <c r="G94" s="528"/>
      <c r="H94" s="528"/>
      <c r="I94" s="532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54"/>
      <c r="Y94" s="520"/>
      <c r="Z94" s="520"/>
      <c r="AA94" s="520"/>
      <c r="AB94" s="520"/>
      <c r="AC94" s="520"/>
      <c r="AD94" s="520"/>
      <c r="AE94" s="520"/>
      <c r="AF94" s="520"/>
      <c r="AG94" s="520"/>
      <c r="AH94" s="557"/>
      <c r="AI94" s="504"/>
      <c r="AJ94" s="505"/>
      <c r="AK94" s="509"/>
    </row>
    <row r="95" spans="1:40" s="62" customFormat="1" ht="21.95" customHeight="1" x14ac:dyDescent="0.25">
      <c r="A95" s="527"/>
      <c r="B95" s="528"/>
      <c r="C95" s="528"/>
      <c r="D95" s="528"/>
      <c r="E95" s="528"/>
      <c r="F95" s="528"/>
      <c r="G95" s="528"/>
      <c r="H95" s="528"/>
      <c r="I95" s="532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54"/>
      <c r="Y95" s="520"/>
      <c r="Z95" s="520"/>
      <c r="AA95" s="520"/>
      <c r="AB95" s="520"/>
      <c r="AC95" s="520"/>
      <c r="AD95" s="520"/>
      <c r="AE95" s="520"/>
      <c r="AF95" s="520"/>
      <c r="AG95" s="520"/>
      <c r="AH95" s="557"/>
      <c r="AI95" s="504"/>
      <c r="AJ95" s="505"/>
      <c r="AK95" s="509"/>
    </row>
    <row r="96" spans="1:40" s="62" customFormat="1" ht="21.95" customHeight="1" x14ac:dyDescent="0.25">
      <c r="A96" s="527"/>
      <c r="B96" s="528"/>
      <c r="C96" s="528"/>
      <c r="D96" s="528"/>
      <c r="E96" s="528"/>
      <c r="F96" s="528"/>
      <c r="G96" s="528"/>
      <c r="H96" s="528"/>
      <c r="I96" s="532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54"/>
      <c r="Y96" s="520"/>
      <c r="Z96" s="520"/>
      <c r="AA96" s="520"/>
      <c r="AB96" s="520"/>
      <c r="AC96" s="520"/>
      <c r="AD96" s="520"/>
      <c r="AE96" s="520"/>
      <c r="AF96" s="520"/>
      <c r="AG96" s="520"/>
      <c r="AH96" s="557"/>
      <c r="AI96" s="504"/>
      <c r="AJ96" s="505"/>
      <c r="AK96" s="509"/>
    </row>
    <row r="97" spans="1:37" s="62" customFormat="1" ht="21.95" customHeight="1" x14ac:dyDescent="0.25">
      <c r="A97" s="527"/>
      <c r="B97" s="528"/>
      <c r="C97" s="528"/>
      <c r="D97" s="528"/>
      <c r="E97" s="528"/>
      <c r="F97" s="528"/>
      <c r="G97" s="528"/>
      <c r="H97" s="528"/>
      <c r="I97" s="532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54"/>
      <c r="Y97" s="520"/>
      <c r="Z97" s="520"/>
      <c r="AA97" s="520"/>
      <c r="AB97" s="520"/>
      <c r="AC97" s="520"/>
      <c r="AD97" s="520"/>
      <c r="AE97" s="520"/>
      <c r="AF97" s="520"/>
      <c r="AG97" s="520"/>
      <c r="AH97" s="557"/>
      <c r="AI97" s="504"/>
      <c r="AJ97" s="505"/>
      <c r="AK97" s="509"/>
    </row>
    <row r="98" spans="1:37" s="62" customFormat="1" ht="21.95" customHeight="1" x14ac:dyDescent="0.25">
      <c r="A98" s="527"/>
      <c r="B98" s="528"/>
      <c r="C98" s="528"/>
      <c r="D98" s="528"/>
      <c r="E98" s="528"/>
      <c r="F98" s="528"/>
      <c r="G98" s="528"/>
      <c r="H98" s="528"/>
      <c r="I98" s="532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54"/>
      <c r="Y98" s="520"/>
      <c r="Z98" s="520"/>
      <c r="AA98" s="520"/>
      <c r="AB98" s="520"/>
      <c r="AC98" s="520"/>
      <c r="AD98" s="520"/>
      <c r="AE98" s="520"/>
      <c r="AF98" s="520"/>
      <c r="AG98" s="520"/>
      <c r="AH98" s="557"/>
      <c r="AI98" s="504"/>
      <c r="AJ98" s="505"/>
      <c r="AK98" s="509"/>
    </row>
    <row r="99" spans="1:37" s="62" customFormat="1" ht="21.95" customHeight="1" x14ac:dyDescent="0.25">
      <c r="A99" s="529"/>
      <c r="B99" s="530"/>
      <c r="C99" s="530"/>
      <c r="D99" s="530"/>
      <c r="E99" s="530"/>
      <c r="F99" s="530"/>
      <c r="G99" s="530"/>
      <c r="H99" s="530"/>
      <c r="I99" s="533"/>
      <c r="J99" s="521"/>
      <c r="K99" s="521"/>
      <c r="L99" s="521"/>
      <c r="M99" s="521"/>
      <c r="N99" s="521"/>
      <c r="O99" s="521"/>
      <c r="P99" s="521"/>
      <c r="Q99" s="521"/>
      <c r="R99" s="521"/>
      <c r="S99" s="521"/>
      <c r="T99" s="521"/>
      <c r="U99" s="521"/>
      <c r="V99" s="521"/>
      <c r="W99" s="521"/>
      <c r="X99" s="555"/>
      <c r="Y99" s="521"/>
      <c r="Z99" s="521"/>
      <c r="AA99" s="521"/>
      <c r="AB99" s="521"/>
      <c r="AC99" s="521"/>
      <c r="AD99" s="521"/>
      <c r="AE99" s="521"/>
      <c r="AF99" s="521"/>
      <c r="AG99" s="521"/>
      <c r="AH99" s="558"/>
      <c r="AI99" s="506"/>
      <c r="AJ99" s="507"/>
      <c r="AK99" s="510"/>
    </row>
    <row r="100" spans="1:37" s="62" customFormat="1" ht="21.95" customHeight="1" x14ac:dyDescent="0.25">
      <c r="A100" s="525" t="s">
        <v>124</v>
      </c>
      <c r="B100" s="526"/>
      <c r="C100" s="526"/>
      <c r="D100" s="526"/>
      <c r="E100" s="526"/>
      <c r="F100" s="526"/>
      <c r="G100" s="526"/>
      <c r="H100" s="526"/>
      <c r="I100" s="531"/>
      <c r="J100" s="519"/>
      <c r="K100" s="519"/>
      <c r="L100" s="519"/>
      <c r="M100" s="519"/>
      <c r="N100" s="519"/>
      <c r="O100" s="519"/>
      <c r="P100" s="519"/>
      <c r="Q100" s="519"/>
      <c r="R100" s="519"/>
      <c r="S100" s="519"/>
      <c r="T100" s="519"/>
      <c r="U100" s="519"/>
      <c r="V100" s="519"/>
      <c r="W100" s="519"/>
      <c r="X100" s="553"/>
      <c r="Y100" s="519"/>
      <c r="Z100" s="519"/>
      <c r="AA100" s="519"/>
      <c r="AB100" s="519"/>
      <c r="AC100" s="519"/>
      <c r="AD100" s="519"/>
      <c r="AE100" s="519"/>
      <c r="AF100" s="519"/>
      <c r="AG100" s="519"/>
      <c r="AH100" s="556"/>
      <c r="AI100" s="503"/>
      <c r="AJ100" s="415"/>
      <c r="AK100" s="508"/>
    </row>
    <row r="101" spans="1:37" s="62" customFormat="1" ht="21.95" customHeight="1" x14ac:dyDescent="0.25">
      <c r="A101" s="527"/>
      <c r="B101" s="528"/>
      <c r="C101" s="528"/>
      <c r="D101" s="528"/>
      <c r="E101" s="528"/>
      <c r="F101" s="528"/>
      <c r="G101" s="528"/>
      <c r="H101" s="528"/>
      <c r="I101" s="532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0"/>
      <c r="V101" s="520"/>
      <c r="W101" s="520"/>
      <c r="X101" s="554"/>
      <c r="Y101" s="520"/>
      <c r="Z101" s="520"/>
      <c r="AA101" s="520"/>
      <c r="AB101" s="520"/>
      <c r="AC101" s="520"/>
      <c r="AD101" s="520"/>
      <c r="AE101" s="520"/>
      <c r="AF101" s="520"/>
      <c r="AG101" s="520"/>
      <c r="AH101" s="557"/>
      <c r="AI101" s="504"/>
      <c r="AJ101" s="505"/>
      <c r="AK101" s="509"/>
    </row>
    <row r="102" spans="1:37" s="62" customFormat="1" ht="21.95" customHeight="1" x14ac:dyDescent="0.25">
      <c r="A102" s="527"/>
      <c r="B102" s="528"/>
      <c r="C102" s="528"/>
      <c r="D102" s="528"/>
      <c r="E102" s="528"/>
      <c r="F102" s="528"/>
      <c r="G102" s="528"/>
      <c r="H102" s="528"/>
      <c r="I102" s="532"/>
      <c r="J102" s="520"/>
      <c r="K102" s="520"/>
      <c r="L102" s="520"/>
      <c r="M102" s="520"/>
      <c r="N102" s="520"/>
      <c r="O102" s="520"/>
      <c r="P102" s="520"/>
      <c r="Q102" s="520"/>
      <c r="R102" s="520"/>
      <c r="S102" s="520"/>
      <c r="T102" s="520"/>
      <c r="U102" s="520"/>
      <c r="V102" s="520"/>
      <c r="W102" s="520"/>
      <c r="X102" s="554"/>
      <c r="Y102" s="520"/>
      <c r="Z102" s="520"/>
      <c r="AA102" s="520"/>
      <c r="AB102" s="520"/>
      <c r="AC102" s="520"/>
      <c r="AD102" s="520"/>
      <c r="AE102" s="520"/>
      <c r="AF102" s="520"/>
      <c r="AG102" s="520"/>
      <c r="AH102" s="557"/>
      <c r="AI102" s="504"/>
      <c r="AJ102" s="505"/>
      <c r="AK102" s="509"/>
    </row>
    <row r="103" spans="1:37" s="62" customFormat="1" ht="21.95" customHeight="1" x14ac:dyDescent="0.25">
      <c r="A103" s="527"/>
      <c r="B103" s="528"/>
      <c r="C103" s="528"/>
      <c r="D103" s="528"/>
      <c r="E103" s="528"/>
      <c r="F103" s="528"/>
      <c r="G103" s="528"/>
      <c r="H103" s="528"/>
      <c r="I103" s="532"/>
      <c r="J103" s="520"/>
      <c r="K103" s="520"/>
      <c r="L103" s="520"/>
      <c r="M103" s="520"/>
      <c r="N103" s="520"/>
      <c r="O103" s="520"/>
      <c r="P103" s="520"/>
      <c r="Q103" s="520"/>
      <c r="R103" s="520"/>
      <c r="S103" s="520"/>
      <c r="T103" s="520"/>
      <c r="U103" s="520"/>
      <c r="V103" s="520"/>
      <c r="W103" s="520"/>
      <c r="X103" s="554"/>
      <c r="Y103" s="520"/>
      <c r="Z103" s="520"/>
      <c r="AA103" s="520"/>
      <c r="AB103" s="520"/>
      <c r="AC103" s="520"/>
      <c r="AD103" s="520"/>
      <c r="AE103" s="520"/>
      <c r="AF103" s="520"/>
      <c r="AG103" s="520"/>
      <c r="AH103" s="557"/>
      <c r="AI103" s="504"/>
      <c r="AJ103" s="505"/>
      <c r="AK103" s="509"/>
    </row>
    <row r="104" spans="1:37" s="62" customFormat="1" ht="21.95" customHeight="1" x14ac:dyDescent="0.25">
      <c r="A104" s="527"/>
      <c r="B104" s="528"/>
      <c r="C104" s="528"/>
      <c r="D104" s="528"/>
      <c r="E104" s="528"/>
      <c r="F104" s="528"/>
      <c r="G104" s="528"/>
      <c r="H104" s="528"/>
      <c r="I104" s="532"/>
      <c r="J104" s="520"/>
      <c r="K104" s="520"/>
      <c r="L104" s="520"/>
      <c r="M104" s="520"/>
      <c r="N104" s="520"/>
      <c r="O104" s="520"/>
      <c r="P104" s="520"/>
      <c r="Q104" s="520"/>
      <c r="R104" s="520"/>
      <c r="S104" s="520"/>
      <c r="T104" s="520"/>
      <c r="U104" s="520"/>
      <c r="V104" s="520"/>
      <c r="W104" s="520"/>
      <c r="X104" s="554"/>
      <c r="Y104" s="520"/>
      <c r="Z104" s="520"/>
      <c r="AA104" s="520"/>
      <c r="AB104" s="520"/>
      <c r="AC104" s="520"/>
      <c r="AD104" s="520"/>
      <c r="AE104" s="520"/>
      <c r="AF104" s="520"/>
      <c r="AG104" s="520"/>
      <c r="AH104" s="557"/>
      <c r="AI104" s="504"/>
      <c r="AJ104" s="505"/>
      <c r="AK104" s="509"/>
    </row>
    <row r="105" spans="1:37" s="62" customFormat="1" ht="21.95" customHeight="1" x14ac:dyDescent="0.25">
      <c r="A105" s="527"/>
      <c r="B105" s="528"/>
      <c r="C105" s="528"/>
      <c r="D105" s="528"/>
      <c r="E105" s="528"/>
      <c r="F105" s="528"/>
      <c r="G105" s="528"/>
      <c r="H105" s="528"/>
      <c r="I105" s="532"/>
      <c r="J105" s="520"/>
      <c r="K105" s="520"/>
      <c r="L105" s="520"/>
      <c r="M105" s="520"/>
      <c r="N105" s="520"/>
      <c r="O105" s="520"/>
      <c r="P105" s="520"/>
      <c r="Q105" s="520"/>
      <c r="R105" s="520"/>
      <c r="S105" s="520"/>
      <c r="T105" s="520"/>
      <c r="U105" s="520"/>
      <c r="V105" s="520"/>
      <c r="W105" s="520"/>
      <c r="X105" s="554"/>
      <c r="Y105" s="520"/>
      <c r="Z105" s="520"/>
      <c r="AA105" s="520"/>
      <c r="AB105" s="520"/>
      <c r="AC105" s="520"/>
      <c r="AD105" s="520"/>
      <c r="AE105" s="520"/>
      <c r="AF105" s="520"/>
      <c r="AG105" s="520"/>
      <c r="AH105" s="557"/>
      <c r="AI105" s="504"/>
      <c r="AJ105" s="505"/>
      <c r="AK105" s="509"/>
    </row>
    <row r="106" spans="1:37" s="62" customFormat="1" ht="21.95" customHeight="1" x14ac:dyDescent="0.25">
      <c r="A106" s="527"/>
      <c r="B106" s="528"/>
      <c r="C106" s="528"/>
      <c r="D106" s="528"/>
      <c r="E106" s="528"/>
      <c r="F106" s="528"/>
      <c r="G106" s="528"/>
      <c r="H106" s="528"/>
      <c r="I106" s="532"/>
      <c r="J106" s="520"/>
      <c r="K106" s="520"/>
      <c r="L106" s="520"/>
      <c r="M106" s="520"/>
      <c r="N106" s="520"/>
      <c r="O106" s="520"/>
      <c r="P106" s="520"/>
      <c r="Q106" s="520"/>
      <c r="R106" s="520"/>
      <c r="S106" s="520"/>
      <c r="T106" s="520"/>
      <c r="U106" s="520"/>
      <c r="V106" s="520"/>
      <c r="W106" s="520"/>
      <c r="X106" s="554"/>
      <c r="Y106" s="520"/>
      <c r="Z106" s="520"/>
      <c r="AA106" s="520"/>
      <c r="AB106" s="520"/>
      <c r="AC106" s="520"/>
      <c r="AD106" s="520"/>
      <c r="AE106" s="520"/>
      <c r="AF106" s="520"/>
      <c r="AG106" s="520"/>
      <c r="AH106" s="557"/>
      <c r="AI106" s="504"/>
      <c r="AJ106" s="505"/>
      <c r="AK106" s="509"/>
    </row>
    <row r="107" spans="1:37" s="62" customFormat="1" ht="21.95" customHeight="1" thickBot="1" x14ac:dyDescent="0.3">
      <c r="A107" s="529"/>
      <c r="B107" s="530"/>
      <c r="C107" s="530"/>
      <c r="D107" s="530"/>
      <c r="E107" s="530"/>
      <c r="F107" s="530"/>
      <c r="G107" s="530"/>
      <c r="H107" s="530"/>
      <c r="I107" s="534"/>
      <c r="J107" s="535"/>
      <c r="K107" s="535"/>
      <c r="L107" s="535"/>
      <c r="M107" s="535"/>
      <c r="N107" s="535"/>
      <c r="O107" s="535"/>
      <c r="P107" s="535"/>
      <c r="Q107" s="535"/>
      <c r="R107" s="535"/>
      <c r="S107" s="535"/>
      <c r="T107" s="535"/>
      <c r="U107" s="535"/>
      <c r="V107" s="535"/>
      <c r="W107" s="535"/>
      <c r="X107" s="559"/>
      <c r="Y107" s="535"/>
      <c r="Z107" s="535"/>
      <c r="AA107" s="535"/>
      <c r="AB107" s="535"/>
      <c r="AC107" s="535"/>
      <c r="AD107" s="535"/>
      <c r="AE107" s="535"/>
      <c r="AF107" s="535"/>
      <c r="AG107" s="535"/>
      <c r="AH107" s="560"/>
      <c r="AI107" s="511"/>
      <c r="AJ107" s="512"/>
      <c r="AK107" s="513"/>
    </row>
    <row r="108" spans="1:37" s="89" customFormat="1" ht="36" customHeight="1" x14ac:dyDescent="0.3">
      <c r="A108" s="405" t="s">
        <v>52</v>
      </c>
      <c r="B108" s="406"/>
      <c r="C108" s="406"/>
      <c r="D108" s="406"/>
      <c r="E108" s="406"/>
      <c r="F108" s="406"/>
      <c r="G108" s="406"/>
      <c r="H108" s="407"/>
      <c r="I108" s="82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4"/>
      <c r="Y108" s="83"/>
      <c r="Z108" s="83"/>
      <c r="AA108" s="83"/>
      <c r="AB108" s="83"/>
      <c r="AC108" s="83"/>
      <c r="AD108" s="83"/>
      <c r="AE108" s="83"/>
      <c r="AF108" s="83"/>
      <c r="AG108" s="83"/>
      <c r="AH108" s="85"/>
      <c r="AI108" s="86" t="s">
        <v>53</v>
      </c>
      <c r="AJ108" s="87"/>
      <c r="AK108" s="88"/>
    </row>
    <row r="109" spans="1:37" s="89" customFormat="1" ht="36" customHeight="1" x14ac:dyDescent="0.3">
      <c r="A109" s="408" t="s">
        <v>54</v>
      </c>
      <c r="B109" s="409"/>
      <c r="C109" s="409"/>
      <c r="D109" s="409"/>
      <c r="E109" s="409"/>
      <c r="F109" s="409"/>
      <c r="G109" s="409"/>
      <c r="H109" s="410"/>
      <c r="I109" s="90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2"/>
      <c r="Y109" s="91"/>
      <c r="Z109" s="91"/>
      <c r="AA109" s="91"/>
      <c r="AB109" s="91"/>
      <c r="AC109" s="91"/>
      <c r="AD109" s="91"/>
      <c r="AE109" s="91"/>
      <c r="AF109" s="91"/>
      <c r="AG109" s="91"/>
      <c r="AH109" s="93"/>
      <c r="AI109" s="94" t="s">
        <v>53</v>
      </c>
      <c r="AJ109" s="95"/>
      <c r="AK109" s="75"/>
    </row>
    <row r="110" spans="1:37" s="89" customFormat="1" ht="36" customHeight="1" thickBot="1" x14ac:dyDescent="0.35">
      <c r="A110" s="412" t="s">
        <v>55</v>
      </c>
      <c r="B110" s="413"/>
      <c r="C110" s="413"/>
      <c r="D110" s="413"/>
      <c r="E110" s="413"/>
      <c r="F110" s="413"/>
      <c r="G110" s="413"/>
      <c r="H110" s="414"/>
      <c r="I110" s="96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8"/>
      <c r="Y110" s="97"/>
      <c r="Z110" s="97"/>
      <c r="AA110" s="97"/>
      <c r="AB110" s="97"/>
      <c r="AC110" s="97"/>
      <c r="AD110" s="97"/>
      <c r="AE110" s="97"/>
      <c r="AF110" s="97"/>
      <c r="AG110" s="97"/>
      <c r="AH110" s="99"/>
      <c r="AI110" s="415"/>
      <c r="AJ110" s="416"/>
      <c r="AK110" s="100"/>
    </row>
    <row r="111" spans="1:37" s="62" customFormat="1" ht="9.9499999999999993" customHeight="1" x14ac:dyDescent="0.25">
      <c r="A111" s="491" t="s">
        <v>127</v>
      </c>
      <c r="B111" s="492"/>
      <c r="C111" s="492"/>
      <c r="D111" s="492"/>
      <c r="E111" s="492"/>
      <c r="F111" s="492"/>
      <c r="G111" s="492"/>
      <c r="H111" s="514">
        <v>1</v>
      </c>
      <c r="I111" s="517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62"/>
      <c r="Y111" s="563"/>
      <c r="Z111" s="563"/>
      <c r="AA111" s="563"/>
      <c r="AB111" s="563"/>
      <c r="AC111" s="563"/>
      <c r="AD111" s="563"/>
      <c r="AE111" s="563"/>
      <c r="AF111" s="563"/>
      <c r="AG111" s="563"/>
      <c r="AH111" s="564"/>
      <c r="AI111" s="474"/>
      <c r="AJ111" s="475"/>
      <c r="AK111" s="476"/>
    </row>
    <row r="112" spans="1:37" s="62" customFormat="1" ht="9.9499999999999993" customHeight="1" x14ac:dyDescent="0.25">
      <c r="A112" s="493"/>
      <c r="B112" s="494"/>
      <c r="C112" s="494"/>
      <c r="D112" s="494"/>
      <c r="E112" s="494"/>
      <c r="F112" s="494"/>
      <c r="G112" s="494"/>
      <c r="H112" s="515"/>
      <c r="I112" s="497"/>
      <c r="J112" s="499"/>
      <c r="K112" s="499"/>
      <c r="L112" s="499"/>
      <c r="M112" s="499"/>
      <c r="N112" s="499"/>
      <c r="O112" s="499"/>
      <c r="P112" s="499"/>
      <c r="Q112" s="499"/>
      <c r="R112" s="499"/>
      <c r="S112" s="499"/>
      <c r="T112" s="499"/>
      <c r="U112" s="499"/>
      <c r="V112" s="499"/>
      <c r="W112" s="499"/>
      <c r="X112" s="501"/>
      <c r="Y112" s="487"/>
      <c r="Z112" s="487"/>
      <c r="AA112" s="487"/>
      <c r="AB112" s="487"/>
      <c r="AC112" s="487"/>
      <c r="AD112" s="487"/>
      <c r="AE112" s="487"/>
      <c r="AF112" s="487"/>
      <c r="AG112" s="487"/>
      <c r="AH112" s="489"/>
      <c r="AI112" s="477"/>
      <c r="AJ112" s="478"/>
      <c r="AK112" s="479"/>
    </row>
    <row r="113" spans="1:40" s="62" customFormat="1" ht="9.9499999999999993" customHeight="1" x14ac:dyDescent="0.25">
      <c r="A113" s="493"/>
      <c r="B113" s="494"/>
      <c r="C113" s="494"/>
      <c r="D113" s="494"/>
      <c r="E113" s="494"/>
      <c r="F113" s="494"/>
      <c r="G113" s="494"/>
      <c r="H113" s="515"/>
      <c r="I113" s="497"/>
      <c r="J113" s="499"/>
      <c r="K113" s="499"/>
      <c r="L113" s="499"/>
      <c r="M113" s="499"/>
      <c r="N113" s="499"/>
      <c r="O113" s="499"/>
      <c r="P113" s="499"/>
      <c r="Q113" s="499"/>
      <c r="R113" s="499"/>
      <c r="S113" s="499"/>
      <c r="T113" s="499"/>
      <c r="U113" s="499"/>
      <c r="V113" s="499"/>
      <c r="W113" s="499"/>
      <c r="X113" s="501"/>
      <c r="Y113" s="487"/>
      <c r="Z113" s="487"/>
      <c r="AA113" s="487"/>
      <c r="AB113" s="487"/>
      <c r="AC113" s="487"/>
      <c r="AD113" s="487"/>
      <c r="AE113" s="487"/>
      <c r="AF113" s="487"/>
      <c r="AG113" s="487"/>
      <c r="AH113" s="489"/>
      <c r="AI113" s="477"/>
      <c r="AJ113" s="478"/>
      <c r="AK113" s="479"/>
    </row>
    <row r="114" spans="1:40" s="62" customFormat="1" ht="9.9499999999999993" customHeight="1" x14ac:dyDescent="0.25">
      <c r="A114" s="493"/>
      <c r="B114" s="494"/>
      <c r="C114" s="494"/>
      <c r="D114" s="494"/>
      <c r="E114" s="494"/>
      <c r="F114" s="494"/>
      <c r="G114" s="494"/>
      <c r="H114" s="515">
        <v>2</v>
      </c>
      <c r="I114" s="497"/>
      <c r="J114" s="499"/>
      <c r="K114" s="499"/>
      <c r="L114" s="499"/>
      <c r="M114" s="499"/>
      <c r="N114" s="499"/>
      <c r="O114" s="499"/>
      <c r="P114" s="499"/>
      <c r="Q114" s="499"/>
      <c r="R114" s="499"/>
      <c r="S114" s="499"/>
      <c r="T114" s="499"/>
      <c r="U114" s="499"/>
      <c r="V114" s="499"/>
      <c r="W114" s="499"/>
      <c r="X114" s="501"/>
      <c r="Y114" s="487"/>
      <c r="Z114" s="487"/>
      <c r="AA114" s="487"/>
      <c r="AB114" s="487"/>
      <c r="AC114" s="487"/>
      <c r="AD114" s="487"/>
      <c r="AE114" s="487"/>
      <c r="AF114" s="487"/>
      <c r="AG114" s="487"/>
      <c r="AH114" s="489"/>
      <c r="AI114" s="477"/>
      <c r="AJ114" s="478"/>
      <c r="AK114" s="479"/>
    </row>
    <row r="115" spans="1:40" s="62" customFormat="1" ht="9.9499999999999993" customHeight="1" x14ac:dyDescent="0.25">
      <c r="A115" s="493"/>
      <c r="B115" s="494"/>
      <c r="C115" s="494"/>
      <c r="D115" s="494"/>
      <c r="E115" s="494"/>
      <c r="F115" s="494"/>
      <c r="G115" s="494"/>
      <c r="H115" s="515"/>
      <c r="I115" s="497"/>
      <c r="J115" s="499"/>
      <c r="K115" s="499"/>
      <c r="L115" s="499"/>
      <c r="M115" s="499"/>
      <c r="N115" s="499"/>
      <c r="O115" s="499"/>
      <c r="P115" s="499"/>
      <c r="Q115" s="499"/>
      <c r="R115" s="499"/>
      <c r="S115" s="499"/>
      <c r="T115" s="499"/>
      <c r="U115" s="499"/>
      <c r="V115" s="499"/>
      <c r="W115" s="499"/>
      <c r="X115" s="501"/>
      <c r="Y115" s="487"/>
      <c r="Z115" s="487"/>
      <c r="AA115" s="487"/>
      <c r="AB115" s="487"/>
      <c r="AC115" s="487"/>
      <c r="AD115" s="487"/>
      <c r="AE115" s="487"/>
      <c r="AF115" s="487"/>
      <c r="AG115" s="487"/>
      <c r="AH115" s="489"/>
      <c r="AI115" s="477"/>
      <c r="AJ115" s="478"/>
      <c r="AK115" s="479"/>
    </row>
    <row r="116" spans="1:40" s="62" customFormat="1" ht="9.9499999999999993" customHeight="1" x14ac:dyDescent="0.25">
      <c r="A116" s="493"/>
      <c r="B116" s="494"/>
      <c r="C116" s="494"/>
      <c r="D116" s="494"/>
      <c r="E116" s="494"/>
      <c r="F116" s="494"/>
      <c r="G116" s="494"/>
      <c r="H116" s="515"/>
      <c r="I116" s="497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501"/>
      <c r="Y116" s="487"/>
      <c r="Z116" s="487"/>
      <c r="AA116" s="487"/>
      <c r="AB116" s="487"/>
      <c r="AC116" s="487"/>
      <c r="AD116" s="487"/>
      <c r="AE116" s="487"/>
      <c r="AF116" s="487"/>
      <c r="AG116" s="487"/>
      <c r="AH116" s="489"/>
      <c r="AI116" s="477"/>
      <c r="AJ116" s="478"/>
      <c r="AK116" s="479"/>
    </row>
    <row r="117" spans="1:40" s="62" customFormat="1" ht="9.9499999999999993" customHeight="1" x14ac:dyDescent="0.25">
      <c r="A117" s="493"/>
      <c r="B117" s="494"/>
      <c r="C117" s="494"/>
      <c r="D117" s="494"/>
      <c r="E117" s="494"/>
      <c r="F117" s="494"/>
      <c r="G117" s="494"/>
      <c r="H117" s="515">
        <v>3</v>
      </c>
      <c r="I117" s="497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501"/>
      <c r="Y117" s="487"/>
      <c r="Z117" s="487"/>
      <c r="AA117" s="487"/>
      <c r="AB117" s="487"/>
      <c r="AC117" s="487"/>
      <c r="AD117" s="487"/>
      <c r="AE117" s="487"/>
      <c r="AF117" s="487"/>
      <c r="AG117" s="487"/>
      <c r="AH117" s="489"/>
      <c r="AI117" s="477"/>
      <c r="AJ117" s="478"/>
      <c r="AK117" s="479"/>
    </row>
    <row r="118" spans="1:40" s="62" customFormat="1" ht="9.9499999999999993" customHeight="1" x14ac:dyDescent="0.25">
      <c r="A118" s="493"/>
      <c r="B118" s="494"/>
      <c r="C118" s="494"/>
      <c r="D118" s="494"/>
      <c r="E118" s="494"/>
      <c r="F118" s="494"/>
      <c r="G118" s="494"/>
      <c r="H118" s="515"/>
      <c r="I118" s="497"/>
      <c r="J118" s="499"/>
      <c r="K118" s="499"/>
      <c r="L118" s="499"/>
      <c r="M118" s="499"/>
      <c r="N118" s="499"/>
      <c r="O118" s="499"/>
      <c r="P118" s="499"/>
      <c r="Q118" s="499"/>
      <c r="R118" s="499"/>
      <c r="S118" s="499"/>
      <c r="T118" s="499"/>
      <c r="U118" s="499"/>
      <c r="V118" s="499"/>
      <c r="W118" s="499"/>
      <c r="X118" s="501"/>
      <c r="Y118" s="487"/>
      <c r="Z118" s="487"/>
      <c r="AA118" s="487"/>
      <c r="AB118" s="487"/>
      <c r="AC118" s="487"/>
      <c r="AD118" s="487"/>
      <c r="AE118" s="487"/>
      <c r="AF118" s="487"/>
      <c r="AG118" s="487"/>
      <c r="AH118" s="489"/>
      <c r="AI118" s="477"/>
      <c r="AJ118" s="478"/>
      <c r="AK118" s="479"/>
    </row>
    <row r="119" spans="1:40" s="62" customFormat="1" ht="9.9499999999999993" customHeight="1" x14ac:dyDescent="0.25">
      <c r="A119" s="493"/>
      <c r="B119" s="494"/>
      <c r="C119" s="494"/>
      <c r="D119" s="494"/>
      <c r="E119" s="494"/>
      <c r="F119" s="494"/>
      <c r="G119" s="494"/>
      <c r="H119" s="515"/>
      <c r="I119" s="497"/>
      <c r="J119" s="499"/>
      <c r="K119" s="499"/>
      <c r="L119" s="499"/>
      <c r="M119" s="499"/>
      <c r="N119" s="499"/>
      <c r="O119" s="499"/>
      <c r="P119" s="499"/>
      <c r="Q119" s="499"/>
      <c r="R119" s="499"/>
      <c r="S119" s="499"/>
      <c r="T119" s="499"/>
      <c r="U119" s="499"/>
      <c r="V119" s="499"/>
      <c r="W119" s="499"/>
      <c r="X119" s="501"/>
      <c r="Y119" s="487"/>
      <c r="Z119" s="487"/>
      <c r="AA119" s="487"/>
      <c r="AB119" s="487"/>
      <c r="AC119" s="487"/>
      <c r="AD119" s="487"/>
      <c r="AE119" s="487"/>
      <c r="AF119" s="487"/>
      <c r="AG119" s="487"/>
      <c r="AH119" s="489"/>
      <c r="AI119" s="477"/>
      <c r="AJ119" s="478"/>
      <c r="AK119" s="479"/>
    </row>
    <row r="120" spans="1:40" s="62" customFormat="1" ht="9.9499999999999993" customHeight="1" x14ac:dyDescent="0.25">
      <c r="A120" s="493"/>
      <c r="B120" s="494"/>
      <c r="C120" s="494"/>
      <c r="D120" s="494"/>
      <c r="E120" s="494"/>
      <c r="F120" s="494"/>
      <c r="G120" s="494"/>
      <c r="H120" s="515" t="s">
        <v>125</v>
      </c>
      <c r="I120" s="497"/>
      <c r="J120" s="499"/>
      <c r="K120" s="499"/>
      <c r="L120" s="499"/>
      <c r="M120" s="499"/>
      <c r="N120" s="499"/>
      <c r="O120" s="499"/>
      <c r="P120" s="499"/>
      <c r="Q120" s="499"/>
      <c r="R120" s="499"/>
      <c r="S120" s="499"/>
      <c r="T120" s="499"/>
      <c r="U120" s="499"/>
      <c r="V120" s="499"/>
      <c r="W120" s="499"/>
      <c r="X120" s="501"/>
      <c r="Y120" s="487"/>
      <c r="Z120" s="487"/>
      <c r="AA120" s="487"/>
      <c r="AB120" s="487"/>
      <c r="AC120" s="487"/>
      <c r="AD120" s="487"/>
      <c r="AE120" s="487"/>
      <c r="AF120" s="487"/>
      <c r="AG120" s="487"/>
      <c r="AH120" s="489"/>
      <c r="AI120" s="477"/>
      <c r="AJ120" s="478"/>
      <c r="AK120" s="479"/>
    </row>
    <row r="121" spans="1:40" s="62" customFormat="1" ht="9.9499999999999993" customHeight="1" x14ac:dyDescent="0.25">
      <c r="A121" s="493"/>
      <c r="B121" s="494"/>
      <c r="C121" s="494"/>
      <c r="D121" s="494"/>
      <c r="E121" s="494"/>
      <c r="F121" s="494"/>
      <c r="G121" s="494"/>
      <c r="H121" s="515"/>
      <c r="I121" s="497"/>
      <c r="J121" s="499"/>
      <c r="K121" s="499"/>
      <c r="L121" s="499"/>
      <c r="M121" s="499"/>
      <c r="N121" s="499"/>
      <c r="O121" s="499"/>
      <c r="P121" s="499"/>
      <c r="Q121" s="499"/>
      <c r="R121" s="499"/>
      <c r="S121" s="499"/>
      <c r="T121" s="499"/>
      <c r="U121" s="499"/>
      <c r="V121" s="499"/>
      <c r="W121" s="499"/>
      <c r="X121" s="501"/>
      <c r="Y121" s="487"/>
      <c r="Z121" s="487"/>
      <c r="AA121" s="487"/>
      <c r="AB121" s="487"/>
      <c r="AC121" s="487"/>
      <c r="AD121" s="487"/>
      <c r="AE121" s="487"/>
      <c r="AF121" s="487"/>
      <c r="AG121" s="487"/>
      <c r="AH121" s="489"/>
      <c r="AI121" s="477"/>
      <c r="AJ121" s="478"/>
      <c r="AK121" s="479"/>
    </row>
    <row r="122" spans="1:40" s="62" customFormat="1" ht="9.9499999999999993" customHeight="1" thickBot="1" x14ac:dyDescent="0.3">
      <c r="A122" s="495"/>
      <c r="B122" s="496"/>
      <c r="C122" s="496"/>
      <c r="D122" s="496"/>
      <c r="E122" s="496"/>
      <c r="F122" s="496"/>
      <c r="G122" s="496"/>
      <c r="H122" s="516"/>
      <c r="I122" s="498"/>
      <c r="J122" s="500"/>
      <c r="K122" s="500"/>
      <c r="L122" s="500"/>
      <c r="M122" s="500"/>
      <c r="N122" s="500"/>
      <c r="O122" s="500"/>
      <c r="P122" s="500"/>
      <c r="Q122" s="500"/>
      <c r="R122" s="500"/>
      <c r="S122" s="500"/>
      <c r="T122" s="500"/>
      <c r="U122" s="500"/>
      <c r="V122" s="500"/>
      <c r="W122" s="500"/>
      <c r="X122" s="502"/>
      <c r="Y122" s="488"/>
      <c r="Z122" s="488"/>
      <c r="AA122" s="488"/>
      <c r="AB122" s="488"/>
      <c r="AC122" s="488"/>
      <c r="AD122" s="488"/>
      <c r="AE122" s="488"/>
      <c r="AF122" s="488"/>
      <c r="AG122" s="488"/>
      <c r="AH122" s="490"/>
      <c r="AI122" s="480"/>
      <c r="AJ122" s="481"/>
      <c r="AK122" s="482"/>
    </row>
    <row r="123" spans="1:40" s="51" customFormat="1" ht="39.950000000000003" customHeight="1" x14ac:dyDescent="0.25">
      <c r="A123" s="432" t="s">
        <v>62</v>
      </c>
      <c r="B123" s="433"/>
      <c r="C123" s="433"/>
      <c r="D123" s="433"/>
      <c r="E123" s="433"/>
      <c r="F123" s="433"/>
      <c r="G123" s="433"/>
      <c r="H123" s="434"/>
      <c r="I123" s="114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6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7"/>
      <c r="AI123" s="435" t="s">
        <v>126</v>
      </c>
      <c r="AJ123" s="436"/>
      <c r="AK123" s="437"/>
    </row>
    <row r="124" spans="1:40" s="51" customFormat="1" ht="39.950000000000003" customHeight="1" x14ac:dyDescent="0.25">
      <c r="A124" s="444" t="s">
        <v>63</v>
      </c>
      <c r="B124" s="445"/>
      <c r="C124" s="445"/>
      <c r="D124" s="445"/>
      <c r="E124" s="445"/>
      <c r="F124" s="445"/>
      <c r="G124" s="445"/>
      <c r="H124" s="446"/>
      <c r="I124" s="118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20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21"/>
      <c r="AI124" s="438"/>
      <c r="AJ124" s="439"/>
      <c r="AK124" s="440"/>
    </row>
    <row r="125" spans="1:40" s="51" customFormat="1" ht="39.950000000000003" customHeight="1" thickBot="1" x14ac:dyDescent="0.3">
      <c r="A125" s="447" t="s">
        <v>64</v>
      </c>
      <c r="B125" s="448"/>
      <c r="C125" s="448"/>
      <c r="D125" s="448"/>
      <c r="E125" s="448"/>
      <c r="F125" s="448"/>
      <c r="G125" s="448"/>
      <c r="H125" s="449"/>
      <c r="I125" s="122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4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5"/>
      <c r="AI125" s="441"/>
      <c r="AJ125" s="442"/>
      <c r="AK125" s="443"/>
    </row>
    <row r="126" spans="1:40" s="62" customFormat="1" ht="21.95" customHeight="1" thickBot="1" x14ac:dyDescent="0.3">
      <c r="A126" s="483" t="s">
        <v>119</v>
      </c>
      <c r="B126" s="484"/>
      <c r="C126" s="484"/>
      <c r="D126" s="484"/>
      <c r="E126" s="484"/>
      <c r="F126" s="484"/>
      <c r="G126" s="484"/>
      <c r="H126" s="484"/>
      <c r="I126" s="201">
        <v>1</v>
      </c>
      <c r="J126" s="202">
        <v>2</v>
      </c>
      <c r="K126" s="202">
        <v>3</v>
      </c>
      <c r="L126" s="203">
        <v>4</v>
      </c>
      <c r="M126" s="202">
        <v>5</v>
      </c>
      <c r="N126" s="202">
        <v>6</v>
      </c>
      <c r="O126" s="203">
        <v>7</v>
      </c>
      <c r="P126" s="202">
        <v>8</v>
      </c>
      <c r="Q126" s="202">
        <v>9</v>
      </c>
      <c r="R126" s="203">
        <v>10</v>
      </c>
      <c r="S126" s="202">
        <v>11</v>
      </c>
      <c r="T126" s="202">
        <v>12</v>
      </c>
      <c r="U126" s="203">
        <v>13</v>
      </c>
      <c r="V126" s="202">
        <v>14</v>
      </c>
      <c r="W126" s="202">
        <v>15</v>
      </c>
      <c r="X126" s="204">
        <v>16</v>
      </c>
      <c r="Y126" s="202">
        <v>17</v>
      </c>
      <c r="Z126" s="202">
        <v>18</v>
      </c>
      <c r="AA126" s="203">
        <v>19</v>
      </c>
      <c r="AB126" s="202">
        <v>20</v>
      </c>
      <c r="AC126" s="202">
        <v>21</v>
      </c>
      <c r="AD126" s="203">
        <v>22</v>
      </c>
      <c r="AE126" s="202">
        <v>23</v>
      </c>
      <c r="AF126" s="202">
        <v>24</v>
      </c>
      <c r="AG126" s="203">
        <v>25</v>
      </c>
      <c r="AH126" s="205">
        <v>26</v>
      </c>
      <c r="AI126" s="469"/>
      <c r="AJ126" s="404"/>
      <c r="AK126" s="81"/>
      <c r="AN126" s="62" t="s">
        <v>49</v>
      </c>
    </row>
    <row r="127" spans="1:40" ht="15.75" thickBot="1" x14ac:dyDescent="0.3">
      <c r="W127" s="126"/>
      <c r="AF127" s="561"/>
      <c r="AG127" s="561"/>
      <c r="AH127" s="561"/>
      <c r="AI127" s="191"/>
      <c r="AJ127" s="152"/>
      <c r="AK127" s="188" t="str">
        <f>AK46</f>
        <v>8517-0000</v>
      </c>
    </row>
    <row r="128" spans="1:40" s="130" customFormat="1" ht="39.950000000000003" customHeight="1" x14ac:dyDescent="0.35">
      <c r="A128" s="347" t="str">
        <f>A47</f>
        <v>Datum</v>
      </c>
      <c r="B128" s="467"/>
      <c r="C128" s="185" t="s">
        <v>66</v>
      </c>
      <c r="D128" s="129" t="s">
        <v>67</v>
      </c>
      <c r="E128" s="467" t="s">
        <v>68</v>
      </c>
      <c r="F128" s="467"/>
      <c r="G128" s="467" t="s">
        <v>69</v>
      </c>
      <c r="H128" s="467"/>
      <c r="I128" s="467"/>
      <c r="J128" s="467"/>
      <c r="K128" s="467"/>
      <c r="L128" s="467"/>
      <c r="M128" s="467"/>
      <c r="N128" s="467"/>
      <c r="O128" s="467"/>
      <c r="P128" s="467"/>
      <c r="Q128" s="467"/>
      <c r="R128" s="467"/>
      <c r="S128" s="467"/>
      <c r="T128" s="467"/>
      <c r="U128" s="467"/>
      <c r="V128" s="467"/>
      <c r="W128" s="467"/>
      <c r="X128" s="467"/>
      <c r="Y128" s="467"/>
      <c r="Z128" s="467"/>
      <c r="AA128" s="467"/>
      <c r="AB128" s="467"/>
      <c r="AC128" s="467"/>
      <c r="AD128" s="467"/>
      <c r="AE128" s="467"/>
      <c r="AF128" s="467"/>
      <c r="AG128" s="467"/>
      <c r="AH128" s="467"/>
      <c r="AI128" s="467"/>
      <c r="AJ128" s="467"/>
      <c r="AK128" s="468"/>
    </row>
    <row r="129" spans="1:37" s="62" customFormat="1" ht="33" customHeight="1" x14ac:dyDescent="0.25">
      <c r="A129" s="464"/>
      <c r="B129" s="393"/>
      <c r="C129" s="184"/>
      <c r="D129" s="184"/>
      <c r="E129" s="393"/>
      <c r="F129" s="393"/>
      <c r="G129" s="465"/>
      <c r="H129" s="465"/>
      <c r="I129" s="465"/>
      <c r="J129" s="465"/>
      <c r="K129" s="465"/>
      <c r="L129" s="465"/>
      <c r="M129" s="465"/>
      <c r="N129" s="465"/>
      <c r="O129" s="465"/>
      <c r="P129" s="465"/>
      <c r="Q129" s="465"/>
      <c r="R129" s="465"/>
      <c r="S129" s="465"/>
      <c r="T129" s="465"/>
      <c r="U129" s="465"/>
      <c r="V129" s="465"/>
      <c r="W129" s="465"/>
      <c r="X129" s="465"/>
      <c r="Y129" s="465"/>
      <c r="Z129" s="465"/>
      <c r="AA129" s="465"/>
      <c r="AB129" s="465"/>
      <c r="AC129" s="465"/>
      <c r="AD129" s="465"/>
      <c r="AE129" s="465"/>
      <c r="AF129" s="465"/>
      <c r="AG129" s="465"/>
      <c r="AH129" s="465"/>
      <c r="AI129" s="465"/>
      <c r="AJ129" s="465"/>
      <c r="AK129" s="466"/>
    </row>
    <row r="130" spans="1:37" s="62" customFormat="1" ht="33" customHeight="1" x14ac:dyDescent="0.25">
      <c r="A130" s="464"/>
      <c r="B130" s="393"/>
      <c r="C130" s="184"/>
      <c r="D130" s="184"/>
      <c r="E130" s="393"/>
      <c r="F130" s="393"/>
      <c r="G130" s="465"/>
      <c r="H130" s="465"/>
      <c r="I130" s="465"/>
      <c r="J130" s="465"/>
      <c r="K130" s="465"/>
      <c r="L130" s="465"/>
      <c r="M130" s="465"/>
      <c r="N130" s="465"/>
      <c r="O130" s="465"/>
      <c r="P130" s="465"/>
      <c r="Q130" s="465"/>
      <c r="R130" s="465"/>
      <c r="S130" s="465"/>
      <c r="T130" s="465"/>
      <c r="U130" s="465"/>
      <c r="V130" s="465"/>
      <c r="W130" s="465"/>
      <c r="X130" s="465"/>
      <c r="Y130" s="465"/>
      <c r="Z130" s="465"/>
      <c r="AA130" s="465"/>
      <c r="AB130" s="465"/>
      <c r="AC130" s="465"/>
      <c r="AD130" s="465"/>
      <c r="AE130" s="465"/>
      <c r="AF130" s="465"/>
      <c r="AG130" s="465"/>
      <c r="AH130" s="465"/>
      <c r="AI130" s="465"/>
      <c r="AJ130" s="465"/>
      <c r="AK130" s="466"/>
    </row>
    <row r="131" spans="1:37" s="62" customFormat="1" ht="33" customHeight="1" x14ac:dyDescent="0.25">
      <c r="A131" s="464"/>
      <c r="B131" s="393"/>
      <c r="C131" s="184"/>
      <c r="D131" s="184"/>
      <c r="E131" s="393"/>
      <c r="F131" s="393"/>
      <c r="G131" s="465"/>
      <c r="H131" s="465"/>
      <c r="I131" s="465"/>
      <c r="J131" s="465"/>
      <c r="K131" s="465"/>
      <c r="L131" s="465"/>
      <c r="M131" s="465"/>
      <c r="N131" s="465"/>
      <c r="O131" s="465"/>
      <c r="P131" s="465"/>
      <c r="Q131" s="465"/>
      <c r="R131" s="465"/>
      <c r="S131" s="465"/>
      <c r="T131" s="465"/>
      <c r="U131" s="465"/>
      <c r="V131" s="465"/>
      <c r="W131" s="465"/>
      <c r="X131" s="465"/>
      <c r="Y131" s="465"/>
      <c r="Z131" s="465"/>
      <c r="AA131" s="465"/>
      <c r="AB131" s="465"/>
      <c r="AC131" s="465"/>
      <c r="AD131" s="465"/>
      <c r="AE131" s="465"/>
      <c r="AF131" s="465"/>
      <c r="AG131" s="465"/>
      <c r="AH131" s="465"/>
      <c r="AI131" s="465"/>
      <c r="AJ131" s="465"/>
      <c r="AK131" s="466"/>
    </row>
    <row r="132" spans="1:37" s="62" customFormat="1" ht="33" customHeight="1" x14ac:dyDescent="0.25">
      <c r="A132" s="464"/>
      <c r="B132" s="393"/>
      <c r="C132" s="184"/>
      <c r="D132" s="184"/>
      <c r="E132" s="393"/>
      <c r="F132" s="393"/>
      <c r="G132" s="465"/>
      <c r="H132" s="465"/>
      <c r="I132" s="465"/>
      <c r="J132" s="465"/>
      <c r="K132" s="465"/>
      <c r="L132" s="465"/>
      <c r="M132" s="465"/>
      <c r="N132" s="465"/>
      <c r="O132" s="465"/>
      <c r="P132" s="465"/>
      <c r="Q132" s="465"/>
      <c r="R132" s="465"/>
      <c r="S132" s="465"/>
      <c r="T132" s="465"/>
      <c r="U132" s="465"/>
      <c r="V132" s="465"/>
      <c r="W132" s="465"/>
      <c r="X132" s="465"/>
      <c r="Y132" s="465"/>
      <c r="Z132" s="465"/>
      <c r="AA132" s="465"/>
      <c r="AB132" s="465"/>
      <c r="AC132" s="465"/>
      <c r="AD132" s="465"/>
      <c r="AE132" s="465"/>
      <c r="AF132" s="465"/>
      <c r="AG132" s="465"/>
      <c r="AH132" s="465"/>
      <c r="AI132" s="465"/>
      <c r="AJ132" s="465"/>
      <c r="AK132" s="466"/>
    </row>
    <row r="133" spans="1:37" s="62" customFormat="1" ht="33" customHeight="1" x14ac:dyDescent="0.25">
      <c r="A133" s="464"/>
      <c r="B133" s="393"/>
      <c r="C133" s="184"/>
      <c r="D133" s="184"/>
      <c r="E133" s="393"/>
      <c r="F133" s="393"/>
      <c r="G133" s="465"/>
      <c r="H133" s="465"/>
      <c r="I133" s="465"/>
      <c r="J133" s="465"/>
      <c r="K133" s="465"/>
      <c r="L133" s="465"/>
      <c r="M133" s="465"/>
      <c r="N133" s="465"/>
      <c r="O133" s="465"/>
      <c r="P133" s="465"/>
      <c r="Q133" s="465"/>
      <c r="R133" s="465"/>
      <c r="S133" s="465"/>
      <c r="T133" s="465"/>
      <c r="U133" s="465"/>
      <c r="V133" s="465"/>
      <c r="W133" s="465"/>
      <c r="X133" s="465"/>
      <c r="Y133" s="465"/>
      <c r="Z133" s="465"/>
      <c r="AA133" s="465"/>
      <c r="AB133" s="465"/>
      <c r="AC133" s="465"/>
      <c r="AD133" s="465"/>
      <c r="AE133" s="465"/>
      <c r="AF133" s="465"/>
      <c r="AG133" s="465"/>
      <c r="AH133" s="465"/>
      <c r="AI133" s="465"/>
      <c r="AJ133" s="465"/>
      <c r="AK133" s="466"/>
    </row>
    <row r="134" spans="1:37" s="62" customFormat="1" ht="33" customHeight="1" x14ac:dyDescent="0.25">
      <c r="A134" s="464"/>
      <c r="B134" s="393"/>
      <c r="C134" s="184"/>
      <c r="D134" s="184"/>
      <c r="E134" s="393"/>
      <c r="F134" s="393"/>
      <c r="G134" s="465"/>
      <c r="H134" s="465"/>
      <c r="I134" s="465"/>
      <c r="J134" s="465"/>
      <c r="K134" s="465"/>
      <c r="L134" s="465"/>
      <c r="M134" s="465"/>
      <c r="N134" s="465"/>
      <c r="O134" s="465"/>
      <c r="P134" s="465"/>
      <c r="Q134" s="465"/>
      <c r="R134" s="465"/>
      <c r="S134" s="465"/>
      <c r="T134" s="465"/>
      <c r="U134" s="465"/>
      <c r="V134" s="465"/>
      <c r="W134" s="465"/>
      <c r="X134" s="465"/>
      <c r="Y134" s="465"/>
      <c r="Z134" s="465"/>
      <c r="AA134" s="465"/>
      <c r="AB134" s="465"/>
      <c r="AC134" s="465"/>
      <c r="AD134" s="465"/>
      <c r="AE134" s="465"/>
      <c r="AF134" s="465"/>
      <c r="AG134" s="465"/>
      <c r="AH134" s="465"/>
      <c r="AI134" s="465"/>
      <c r="AJ134" s="465"/>
      <c r="AK134" s="466"/>
    </row>
    <row r="135" spans="1:37" s="62" customFormat="1" ht="33" customHeight="1" x14ac:dyDescent="0.25">
      <c r="A135" s="464"/>
      <c r="B135" s="393"/>
      <c r="C135" s="184"/>
      <c r="D135" s="184"/>
      <c r="E135" s="393"/>
      <c r="F135" s="393"/>
      <c r="G135" s="465"/>
      <c r="H135" s="465"/>
      <c r="I135" s="465"/>
      <c r="J135" s="465"/>
      <c r="K135" s="465"/>
      <c r="L135" s="465"/>
      <c r="M135" s="465"/>
      <c r="N135" s="465"/>
      <c r="O135" s="465"/>
      <c r="P135" s="465"/>
      <c r="Q135" s="465"/>
      <c r="R135" s="465"/>
      <c r="S135" s="465"/>
      <c r="T135" s="465"/>
      <c r="U135" s="465"/>
      <c r="V135" s="465"/>
      <c r="W135" s="465"/>
      <c r="X135" s="465"/>
      <c r="Y135" s="465"/>
      <c r="Z135" s="465"/>
      <c r="AA135" s="465"/>
      <c r="AB135" s="465"/>
      <c r="AC135" s="465"/>
      <c r="AD135" s="465"/>
      <c r="AE135" s="465"/>
      <c r="AF135" s="465"/>
      <c r="AG135" s="465"/>
      <c r="AH135" s="465"/>
      <c r="AI135" s="465"/>
      <c r="AJ135" s="465"/>
      <c r="AK135" s="466"/>
    </row>
    <row r="136" spans="1:37" s="62" customFormat="1" ht="33" customHeight="1" x14ac:dyDescent="0.25">
      <c r="A136" s="464"/>
      <c r="B136" s="393"/>
      <c r="C136" s="184"/>
      <c r="D136" s="184"/>
      <c r="E136" s="393"/>
      <c r="F136" s="393"/>
      <c r="G136" s="465"/>
      <c r="H136" s="465"/>
      <c r="I136" s="465"/>
      <c r="J136" s="465"/>
      <c r="K136" s="465"/>
      <c r="L136" s="465"/>
      <c r="M136" s="465"/>
      <c r="N136" s="465"/>
      <c r="O136" s="465"/>
      <c r="P136" s="465"/>
      <c r="Q136" s="465"/>
      <c r="R136" s="465"/>
      <c r="S136" s="465"/>
      <c r="T136" s="465"/>
      <c r="U136" s="465"/>
      <c r="V136" s="465"/>
      <c r="W136" s="465"/>
      <c r="X136" s="465"/>
      <c r="Y136" s="465"/>
      <c r="Z136" s="465"/>
      <c r="AA136" s="465"/>
      <c r="AB136" s="465"/>
      <c r="AC136" s="465"/>
      <c r="AD136" s="465"/>
      <c r="AE136" s="465"/>
      <c r="AF136" s="465"/>
      <c r="AG136" s="465"/>
      <c r="AH136" s="465"/>
      <c r="AI136" s="465"/>
      <c r="AJ136" s="465"/>
      <c r="AK136" s="466"/>
    </row>
    <row r="137" spans="1:37" s="62" customFormat="1" ht="33" customHeight="1" x14ac:dyDescent="0.25">
      <c r="A137" s="464"/>
      <c r="B137" s="393"/>
      <c r="C137" s="184"/>
      <c r="D137" s="184"/>
      <c r="E137" s="393"/>
      <c r="F137" s="393"/>
      <c r="G137" s="465"/>
      <c r="H137" s="465"/>
      <c r="I137" s="465"/>
      <c r="J137" s="465"/>
      <c r="K137" s="465"/>
      <c r="L137" s="465"/>
      <c r="M137" s="465"/>
      <c r="N137" s="465"/>
      <c r="O137" s="465"/>
      <c r="P137" s="465"/>
      <c r="Q137" s="465"/>
      <c r="R137" s="465"/>
      <c r="S137" s="465"/>
      <c r="T137" s="465"/>
      <c r="U137" s="465"/>
      <c r="V137" s="465"/>
      <c r="W137" s="465"/>
      <c r="X137" s="465"/>
      <c r="Y137" s="465"/>
      <c r="Z137" s="465"/>
      <c r="AA137" s="465"/>
      <c r="AB137" s="465"/>
      <c r="AC137" s="465"/>
      <c r="AD137" s="465"/>
      <c r="AE137" s="465"/>
      <c r="AF137" s="465"/>
      <c r="AG137" s="465"/>
      <c r="AH137" s="465"/>
      <c r="AI137" s="465"/>
      <c r="AJ137" s="465"/>
      <c r="AK137" s="466"/>
    </row>
    <row r="138" spans="1:37" s="62" customFormat="1" ht="33" customHeight="1" x14ac:dyDescent="0.25">
      <c r="A138" s="464"/>
      <c r="B138" s="393"/>
      <c r="C138" s="184"/>
      <c r="D138" s="184"/>
      <c r="E138" s="393"/>
      <c r="F138" s="393"/>
      <c r="G138" s="465"/>
      <c r="H138" s="465"/>
      <c r="I138" s="465"/>
      <c r="J138" s="465"/>
      <c r="K138" s="465"/>
      <c r="L138" s="465"/>
      <c r="M138" s="465"/>
      <c r="N138" s="465"/>
      <c r="O138" s="465"/>
      <c r="P138" s="465"/>
      <c r="Q138" s="465"/>
      <c r="R138" s="465"/>
      <c r="S138" s="465"/>
      <c r="T138" s="465"/>
      <c r="U138" s="465"/>
      <c r="V138" s="465"/>
      <c r="W138" s="465"/>
      <c r="X138" s="465"/>
      <c r="Y138" s="465"/>
      <c r="Z138" s="465"/>
      <c r="AA138" s="465"/>
      <c r="AB138" s="465"/>
      <c r="AC138" s="465"/>
      <c r="AD138" s="465"/>
      <c r="AE138" s="465"/>
      <c r="AF138" s="465"/>
      <c r="AG138" s="465"/>
      <c r="AH138" s="465"/>
      <c r="AI138" s="465"/>
      <c r="AJ138" s="465"/>
      <c r="AK138" s="466"/>
    </row>
    <row r="139" spans="1:37" s="62" customFormat="1" ht="33" customHeight="1" x14ac:dyDescent="0.25">
      <c r="A139" s="464"/>
      <c r="B139" s="393"/>
      <c r="C139" s="184"/>
      <c r="D139" s="184"/>
      <c r="E139" s="393"/>
      <c r="F139" s="393"/>
      <c r="G139" s="465"/>
      <c r="H139" s="465"/>
      <c r="I139" s="465"/>
      <c r="J139" s="465"/>
      <c r="K139" s="465"/>
      <c r="L139" s="465"/>
      <c r="M139" s="465"/>
      <c r="N139" s="465"/>
      <c r="O139" s="465"/>
      <c r="P139" s="465"/>
      <c r="Q139" s="465"/>
      <c r="R139" s="465"/>
      <c r="S139" s="465"/>
      <c r="T139" s="465"/>
      <c r="U139" s="465"/>
      <c r="V139" s="465"/>
      <c r="W139" s="465"/>
      <c r="X139" s="465"/>
      <c r="Y139" s="465"/>
      <c r="Z139" s="465"/>
      <c r="AA139" s="465"/>
      <c r="AB139" s="465"/>
      <c r="AC139" s="465"/>
      <c r="AD139" s="465"/>
      <c r="AE139" s="465"/>
      <c r="AF139" s="465"/>
      <c r="AG139" s="465"/>
      <c r="AH139" s="465"/>
      <c r="AI139" s="465"/>
      <c r="AJ139" s="465"/>
      <c r="AK139" s="466"/>
    </row>
    <row r="140" spans="1:37" s="62" customFormat="1" ht="33" customHeight="1" x14ac:dyDescent="0.25">
      <c r="A140" s="464"/>
      <c r="B140" s="393"/>
      <c r="C140" s="184"/>
      <c r="D140" s="184"/>
      <c r="E140" s="393"/>
      <c r="F140" s="393"/>
      <c r="G140" s="465"/>
      <c r="H140" s="465"/>
      <c r="I140" s="465"/>
      <c r="J140" s="465"/>
      <c r="K140" s="465"/>
      <c r="L140" s="465"/>
      <c r="M140" s="465"/>
      <c r="N140" s="465"/>
      <c r="O140" s="465"/>
      <c r="P140" s="465"/>
      <c r="Q140" s="465"/>
      <c r="R140" s="465"/>
      <c r="S140" s="465"/>
      <c r="T140" s="465"/>
      <c r="U140" s="465"/>
      <c r="V140" s="465"/>
      <c r="W140" s="465"/>
      <c r="X140" s="465"/>
      <c r="Y140" s="465"/>
      <c r="Z140" s="465"/>
      <c r="AA140" s="465"/>
      <c r="AB140" s="465"/>
      <c r="AC140" s="465"/>
      <c r="AD140" s="465"/>
      <c r="AE140" s="465"/>
      <c r="AF140" s="465"/>
      <c r="AG140" s="465"/>
      <c r="AH140" s="465"/>
      <c r="AI140" s="465"/>
      <c r="AJ140" s="465"/>
      <c r="AK140" s="466"/>
    </row>
    <row r="141" spans="1:37" s="62" customFormat="1" ht="33" customHeight="1" x14ac:dyDescent="0.25">
      <c r="A141" s="464"/>
      <c r="B141" s="393"/>
      <c r="C141" s="184"/>
      <c r="D141" s="184"/>
      <c r="E141" s="393"/>
      <c r="F141" s="393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465"/>
      <c r="U141" s="465"/>
      <c r="V141" s="465"/>
      <c r="W141" s="465"/>
      <c r="X141" s="465"/>
      <c r="Y141" s="465"/>
      <c r="Z141" s="465"/>
      <c r="AA141" s="465"/>
      <c r="AB141" s="465"/>
      <c r="AC141" s="465"/>
      <c r="AD141" s="465"/>
      <c r="AE141" s="465"/>
      <c r="AF141" s="465"/>
      <c r="AG141" s="465"/>
      <c r="AH141" s="465"/>
      <c r="AI141" s="465"/>
      <c r="AJ141" s="465"/>
      <c r="AK141" s="466"/>
    </row>
    <row r="142" spans="1:37" s="62" customFormat="1" ht="33" customHeight="1" x14ac:dyDescent="0.25">
      <c r="A142" s="464"/>
      <c r="B142" s="393"/>
      <c r="C142" s="184"/>
      <c r="D142" s="184"/>
      <c r="E142" s="393"/>
      <c r="F142" s="393"/>
      <c r="G142" s="465"/>
      <c r="H142" s="465"/>
      <c r="I142" s="465"/>
      <c r="J142" s="465"/>
      <c r="K142" s="465"/>
      <c r="L142" s="465"/>
      <c r="M142" s="465"/>
      <c r="N142" s="465"/>
      <c r="O142" s="465"/>
      <c r="P142" s="465"/>
      <c r="Q142" s="465"/>
      <c r="R142" s="465"/>
      <c r="S142" s="465"/>
      <c r="T142" s="465"/>
      <c r="U142" s="465"/>
      <c r="V142" s="465"/>
      <c r="W142" s="465"/>
      <c r="X142" s="465"/>
      <c r="Y142" s="465"/>
      <c r="Z142" s="465"/>
      <c r="AA142" s="465"/>
      <c r="AB142" s="465"/>
      <c r="AC142" s="465"/>
      <c r="AD142" s="465"/>
      <c r="AE142" s="465"/>
      <c r="AF142" s="465"/>
      <c r="AG142" s="465"/>
      <c r="AH142" s="465"/>
      <c r="AI142" s="465"/>
      <c r="AJ142" s="465"/>
      <c r="AK142" s="466"/>
    </row>
    <row r="143" spans="1:37" s="62" customFormat="1" ht="33" customHeight="1" x14ac:dyDescent="0.25">
      <c r="A143" s="464"/>
      <c r="B143" s="393"/>
      <c r="C143" s="184"/>
      <c r="D143" s="184"/>
      <c r="E143" s="393"/>
      <c r="F143" s="393"/>
      <c r="G143" s="465"/>
      <c r="H143" s="465"/>
      <c r="I143" s="465"/>
      <c r="J143" s="465"/>
      <c r="K143" s="465"/>
      <c r="L143" s="465"/>
      <c r="M143" s="465"/>
      <c r="N143" s="465"/>
      <c r="O143" s="465"/>
      <c r="P143" s="465"/>
      <c r="Q143" s="465"/>
      <c r="R143" s="465"/>
      <c r="S143" s="465"/>
      <c r="T143" s="465"/>
      <c r="U143" s="465"/>
      <c r="V143" s="465"/>
      <c r="W143" s="465"/>
      <c r="X143" s="465"/>
      <c r="Y143" s="465"/>
      <c r="Z143" s="465"/>
      <c r="AA143" s="465"/>
      <c r="AB143" s="465"/>
      <c r="AC143" s="465"/>
      <c r="AD143" s="465"/>
      <c r="AE143" s="465"/>
      <c r="AF143" s="465"/>
      <c r="AG143" s="465"/>
      <c r="AH143" s="465"/>
      <c r="AI143" s="465"/>
      <c r="AJ143" s="465"/>
      <c r="AK143" s="466"/>
    </row>
    <row r="144" spans="1:37" s="62" customFormat="1" ht="33" customHeight="1" x14ac:dyDescent="0.25">
      <c r="A144" s="464"/>
      <c r="B144" s="393"/>
      <c r="C144" s="184"/>
      <c r="D144" s="184"/>
      <c r="E144" s="393"/>
      <c r="F144" s="393"/>
      <c r="G144" s="465"/>
      <c r="H144" s="465"/>
      <c r="I144" s="465"/>
      <c r="J144" s="465"/>
      <c r="K144" s="465"/>
      <c r="L144" s="465"/>
      <c r="M144" s="465"/>
      <c r="N144" s="465"/>
      <c r="O144" s="465"/>
      <c r="P144" s="465"/>
      <c r="Q144" s="465"/>
      <c r="R144" s="465"/>
      <c r="S144" s="465"/>
      <c r="T144" s="465"/>
      <c r="U144" s="465"/>
      <c r="V144" s="465"/>
      <c r="W144" s="465"/>
      <c r="X144" s="465"/>
      <c r="Y144" s="465"/>
      <c r="Z144" s="465"/>
      <c r="AA144" s="465"/>
      <c r="AB144" s="465"/>
      <c r="AC144" s="465"/>
      <c r="AD144" s="465"/>
      <c r="AE144" s="465"/>
      <c r="AF144" s="465"/>
      <c r="AG144" s="465"/>
      <c r="AH144" s="465"/>
      <c r="AI144" s="465"/>
      <c r="AJ144" s="465"/>
      <c r="AK144" s="466"/>
    </row>
    <row r="145" spans="1:37" s="62" customFormat="1" ht="33" customHeight="1" x14ac:dyDescent="0.25">
      <c r="A145" s="464"/>
      <c r="B145" s="393"/>
      <c r="C145" s="184"/>
      <c r="D145" s="184"/>
      <c r="E145" s="393"/>
      <c r="F145" s="393"/>
      <c r="G145" s="465"/>
      <c r="H145" s="465"/>
      <c r="I145" s="465"/>
      <c r="J145" s="465"/>
      <c r="K145" s="465"/>
      <c r="L145" s="465"/>
      <c r="M145" s="465"/>
      <c r="N145" s="465"/>
      <c r="O145" s="465"/>
      <c r="P145" s="465"/>
      <c r="Q145" s="465"/>
      <c r="R145" s="465"/>
      <c r="S145" s="465"/>
      <c r="T145" s="465"/>
      <c r="U145" s="465"/>
      <c r="V145" s="465"/>
      <c r="W145" s="465"/>
      <c r="X145" s="465"/>
      <c r="Y145" s="465"/>
      <c r="Z145" s="465"/>
      <c r="AA145" s="465"/>
      <c r="AB145" s="465"/>
      <c r="AC145" s="465"/>
      <c r="AD145" s="465"/>
      <c r="AE145" s="465"/>
      <c r="AF145" s="465"/>
      <c r="AG145" s="465"/>
      <c r="AH145" s="465"/>
      <c r="AI145" s="465"/>
      <c r="AJ145" s="465"/>
      <c r="AK145" s="466"/>
    </row>
    <row r="146" spans="1:37" s="62" customFormat="1" ht="33" customHeight="1" x14ac:dyDescent="0.25">
      <c r="A146" s="464"/>
      <c r="B146" s="393"/>
      <c r="C146" s="184"/>
      <c r="D146" s="184"/>
      <c r="E146" s="393"/>
      <c r="F146" s="393"/>
      <c r="G146" s="465"/>
      <c r="H146" s="465"/>
      <c r="I146" s="465"/>
      <c r="J146" s="465"/>
      <c r="K146" s="465"/>
      <c r="L146" s="465"/>
      <c r="M146" s="465"/>
      <c r="N146" s="465"/>
      <c r="O146" s="465"/>
      <c r="P146" s="465"/>
      <c r="Q146" s="465"/>
      <c r="R146" s="465"/>
      <c r="S146" s="465"/>
      <c r="T146" s="465"/>
      <c r="U146" s="465"/>
      <c r="V146" s="465"/>
      <c r="W146" s="465"/>
      <c r="X146" s="465"/>
      <c r="Y146" s="465"/>
      <c r="Z146" s="465"/>
      <c r="AA146" s="465"/>
      <c r="AB146" s="465"/>
      <c r="AC146" s="465"/>
      <c r="AD146" s="465"/>
      <c r="AE146" s="465"/>
      <c r="AF146" s="465"/>
      <c r="AG146" s="465"/>
      <c r="AH146" s="465"/>
      <c r="AI146" s="465"/>
      <c r="AJ146" s="465"/>
      <c r="AK146" s="466"/>
    </row>
    <row r="147" spans="1:37" s="62" customFormat="1" ht="33" customHeight="1" x14ac:dyDescent="0.25">
      <c r="A147" s="464"/>
      <c r="B147" s="393"/>
      <c r="C147" s="184"/>
      <c r="D147" s="184"/>
      <c r="E147" s="393"/>
      <c r="F147" s="393"/>
      <c r="G147" s="465"/>
      <c r="H147" s="465"/>
      <c r="I147" s="465"/>
      <c r="J147" s="465"/>
      <c r="K147" s="465"/>
      <c r="L147" s="465"/>
      <c r="M147" s="465"/>
      <c r="N147" s="465"/>
      <c r="O147" s="465"/>
      <c r="P147" s="465"/>
      <c r="Q147" s="465"/>
      <c r="R147" s="465"/>
      <c r="S147" s="465"/>
      <c r="T147" s="465"/>
      <c r="U147" s="465"/>
      <c r="V147" s="465"/>
      <c r="W147" s="465"/>
      <c r="X147" s="465"/>
      <c r="Y147" s="465"/>
      <c r="Z147" s="465"/>
      <c r="AA147" s="465"/>
      <c r="AB147" s="465"/>
      <c r="AC147" s="465"/>
      <c r="AD147" s="465"/>
      <c r="AE147" s="465"/>
      <c r="AF147" s="465"/>
      <c r="AG147" s="465"/>
      <c r="AH147" s="465"/>
      <c r="AI147" s="465"/>
      <c r="AJ147" s="465"/>
      <c r="AK147" s="466"/>
    </row>
    <row r="148" spans="1:37" s="62" customFormat="1" ht="33" customHeight="1" x14ac:dyDescent="0.25">
      <c r="A148" s="464"/>
      <c r="B148" s="393"/>
      <c r="C148" s="184"/>
      <c r="D148" s="184"/>
      <c r="E148" s="393"/>
      <c r="F148" s="393"/>
      <c r="G148" s="465"/>
      <c r="H148" s="465"/>
      <c r="I148" s="465"/>
      <c r="J148" s="465"/>
      <c r="K148" s="465"/>
      <c r="L148" s="465"/>
      <c r="M148" s="465"/>
      <c r="N148" s="465"/>
      <c r="O148" s="465"/>
      <c r="P148" s="465"/>
      <c r="Q148" s="465"/>
      <c r="R148" s="465"/>
      <c r="S148" s="465"/>
      <c r="T148" s="465"/>
      <c r="U148" s="465"/>
      <c r="V148" s="465"/>
      <c r="W148" s="465"/>
      <c r="X148" s="465"/>
      <c r="Y148" s="465"/>
      <c r="Z148" s="465"/>
      <c r="AA148" s="465"/>
      <c r="AB148" s="465"/>
      <c r="AC148" s="465"/>
      <c r="AD148" s="465"/>
      <c r="AE148" s="465"/>
      <c r="AF148" s="465"/>
      <c r="AG148" s="465"/>
      <c r="AH148" s="465"/>
      <c r="AI148" s="465"/>
      <c r="AJ148" s="465"/>
      <c r="AK148" s="466"/>
    </row>
    <row r="149" spans="1:37" s="62" customFormat="1" ht="33" customHeight="1" x14ac:dyDescent="0.25">
      <c r="A149" s="464"/>
      <c r="B149" s="393"/>
      <c r="C149" s="184"/>
      <c r="D149" s="184"/>
      <c r="E149" s="393"/>
      <c r="F149" s="393"/>
      <c r="G149" s="465"/>
      <c r="H149" s="465"/>
      <c r="I149" s="465"/>
      <c r="J149" s="465"/>
      <c r="K149" s="465"/>
      <c r="L149" s="465"/>
      <c r="M149" s="465"/>
      <c r="N149" s="465"/>
      <c r="O149" s="465"/>
      <c r="P149" s="465"/>
      <c r="Q149" s="465"/>
      <c r="R149" s="465"/>
      <c r="S149" s="465"/>
      <c r="T149" s="465"/>
      <c r="U149" s="465"/>
      <c r="V149" s="465"/>
      <c r="W149" s="465"/>
      <c r="X149" s="465"/>
      <c r="Y149" s="465"/>
      <c r="Z149" s="465"/>
      <c r="AA149" s="465"/>
      <c r="AB149" s="465"/>
      <c r="AC149" s="465"/>
      <c r="AD149" s="465"/>
      <c r="AE149" s="465"/>
      <c r="AF149" s="465"/>
      <c r="AG149" s="465"/>
      <c r="AH149" s="465"/>
      <c r="AI149" s="465"/>
      <c r="AJ149" s="465"/>
      <c r="AK149" s="466"/>
    </row>
    <row r="150" spans="1:37" s="62" customFormat="1" ht="33" customHeight="1" x14ac:dyDescent="0.25">
      <c r="A150" s="464"/>
      <c r="B150" s="393"/>
      <c r="C150" s="184"/>
      <c r="D150" s="184"/>
      <c r="E150" s="393"/>
      <c r="F150" s="393"/>
      <c r="G150" s="465"/>
      <c r="H150" s="465"/>
      <c r="I150" s="465"/>
      <c r="J150" s="465"/>
      <c r="K150" s="465"/>
      <c r="L150" s="465"/>
      <c r="M150" s="465"/>
      <c r="N150" s="465"/>
      <c r="O150" s="465"/>
      <c r="P150" s="465"/>
      <c r="Q150" s="465"/>
      <c r="R150" s="465"/>
      <c r="S150" s="465"/>
      <c r="T150" s="465"/>
      <c r="U150" s="465"/>
      <c r="V150" s="465"/>
      <c r="W150" s="465"/>
      <c r="X150" s="465"/>
      <c r="Y150" s="465"/>
      <c r="Z150" s="465"/>
      <c r="AA150" s="465"/>
      <c r="AB150" s="465"/>
      <c r="AC150" s="465"/>
      <c r="AD150" s="465"/>
      <c r="AE150" s="465"/>
      <c r="AF150" s="465"/>
      <c r="AG150" s="465"/>
      <c r="AH150" s="465"/>
      <c r="AI150" s="465"/>
      <c r="AJ150" s="465"/>
      <c r="AK150" s="466"/>
    </row>
    <row r="151" spans="1:37" s="62" customFormat="1" ht="33" customHeight="1" x14ac:dyDescent="0.25">
      <c r="A151" s="464"/>
      <c r="B151" s="393"/>
      <c r="C151" s="184"/>
      <c r="D151" s="184"/>
      <c r="E151" s="393"/>
      <c r="F151" s="393"/>
      <c r="G151" s="465"/>
      <c r="H151" s="465"/>
      <c r="I151" s="465"/>
      <c r="J151" s="465"/>
      <c r="K151" s="465"/>
      <c r="L151" s="465"/>
      <c r="M151" s="465"/>
      <c r="N151" s="465"/>
      <c r="O151" s="465"/>
      <c r="P151" s="465"/>
      <c r="Q151" s="465"/>
      <c r="R151" s="465"/>
      <c r="S151" s="465"/>
      <c r="T151" s="465"/>
      <c r="U151" s="465"/>
      <c r="V151" s="465"/>
      <c r="W151" s="465"/>
      <c r="X151" s="465"/>
      <c r="Y151" s="465"/>
      <c r="Z151" s="465"/>
      <c r="AA151" s="465"/>
      <c r="AB151" s="465"/>
      <c r="AC151" s="465"/>
      <c r="AD151" s="465"/>
      <c r="AE151" s="465"/>
      <c r="AF151" s="465"/>
      <c r="AG151" s="465"/>
      <c r="AH151" s="465"/>
      <c r="AI151" s="465"/>
      <c r="AJ151" s="465"/>
      <c r="AK151" s="466"/>
    </row>
    <row r="152" spans="1:37" s="62" customFormat="1" ht="33" customHeight="1" x14ac:dyDescent="0.25">
      <c r="A152" s="464"/>
      <c r="B152" s="393"/>
      <c r="C152" s="184"/>
      <c r="D152" s="184"/>
      <c r="E152" s="393"/>
      <c r="F152" s="393"/>
      <c r="G152" s="465"/>
      <c r="H152" s="465"/>
      <c r="I152" s="465"/>
      <c r="J152" s="465"/>
      <c r="K152" s="465"/>
      <c r="L152" s="465"/>
      <c r="M152" s="465"/>
      <c r="N152" s="465"/>
      <c r="O152" s="465"/>
      <c r="P152" s="465"/>
      <c r="Q152" s="465"/>
      <c r="R152" s="465"/>
      <c r="S152" s="465"/>
      <c r="T152" s="465"/>
      <c r="U152" s="465"/>
      <c r="V152" s="465"/>
      <c r="W152" s="465"/>
      <c r="X152" s="465"/>
      <c r="Y152" s="465"/>
      <c r="Z152" s="465"/>
      <c r="AA152" s="465"/>
      <c r="AB152" s="465"/>
      <c r="AC152" s="465"/>
      <c r="AD152" s="465"/>
      <c r="AE152" s="465"/>
      <c r="AF152" s="465"/>
      <c r="AG152" s="465"/>
      <c r="AH152" s="465"/>
      <c r="AI152" s="465"/>
      <c r="AJ152" s="465"/>
      <c r="AK152" s="466"/>
    </row>
    <row r="153" spans="1:37" s="62" customFormat="1" ht="33" customHeight="1" x14ac:dyDescent="0.25">
      <c r="A153" s="464"/>
      <c r="B153" s="393"/>
      <c r="C153" s="184"/>
      <c r="D153" s="184"/>
      <c r="E153" s="393"/>
      <c r="F153" s="393"/>
      <c r="G153" s="465"/>
      <c r="H153" s="465"/>
      <c r="I153" s="465"/>
      <c r="J153" s="465"/>
      <c r="K153" s="465"/>
      <c r="L153" s="465"/>
      <c r="M153" s="465"/>
      <c r="N153" s="465"/>
      <c r="O153" s="465"/>
      <c r="P153" s="465"/>
      <c r="Q153" s="465"/>
      <c r="R153" s="465"/>
      <c r="S153" s="465"/>
      <c r="T153" s="465"/>
      <c r="U153" s="465"/>
      <c r="V153" s="465"/>
      <c r="W153" s="465"/>
      <c r="X153" s="465"/>
      <c r="Y153" s="465"/>
      <c r="Z153" s="465"/>
      <c r="AA153" s="465"/>
      <c r="AB153" s="465"/>
      <c r="AC153" s="465"/>
      <c r="AD153" s="465"/>
      <c r="AE153" s="465"/>
      <c r="AF153" s="465"/>
      <c r="AG153" s="465"/>
      <c r="AH153" s="465"/>
      <c r="AI153" s="465"/>
      <c r="AJ153" s="465"/>
      <c r="AK153" s="466"/>
    </row>
    <row r="154" spans="1:37" s="62" customFormat="1" ht="33" customHeight="1" x14ac:dyDescent="0.25">
      <c r="A154" s="464"/>
      <c r="B154" s="393"/>
      <c r="C154" s="184"/>
      <c r="D154" s="184"/>
      <c r="E154" s="393"/>
      <c r="F154" s="393"/>
      <c r="G154" s="465"/>
      <c r="H154" s="465"/>
      <c r="I154" s="465"/>
      <c r="J154" s="465"/>
      <c r="K154" s="465"/>
      <c r="L154" s="465"/>
      <c r="M154" s="465"/>
      <c r="N154" s="465"/>
      <c r="O154" s="465"/>
      <c r="P154" s="465"/>
      <c r="Q154" s="465"/>
      <c r="R154" s="465"/>
      <c r="S154" s="465"/>
      <c r="T154" s="465"/>
      <c r="U154" s="465"/>
      <c r="V154" s="465"/>
      <c r="W154" s="465"/>
      <c r="X154" s="465"/>
      <c r="Y154" s="465"/>
      <c r="Z154" s="465"/>
      <c r="AA154" s="465"/>
      <c r="AB154" s="465"/>
      <c r="AC154" s="465"/>
      <c r="AD154" s="465"/>
      <c r="AE154" s="465"/>
      <c r="AF154" s="465"/>
      <c r="AG154" s="465"/>
      <c r="AH154" s="465"/>
      <c r="AI154" s="465"/>
      <c r="AJ154" s="465"/>
      <c r="AK154" s="466"/>
    </row>
    <row r="155" spans="1:37" s="62" customFormat="1" ht="33" customHeight="1" x14ac:dyDescent="0.25">
      <c r="A155" s="464"/>
      <c r="B155" s="393"/>
      <c r="C155" s="184"/>
      <c r="D155" s="184"/>
      <c r="E155" s="393"/>
      <c r="F155" s="393"/>
      <c r="G155" s="465"/>
      <c r="H155" s="465"/>
      <c r="I155" s="465"/>
      <c r="J155" s="465"/>
      <c r="K155" s="465"/>
      <c r="L155" s="465"/>
      <c r="M155" s="465"/>
      <c r="N155" s="465"/>
      <c r="O155" s="465"/>
      <c r="P155" s="465"/>
      <c r="Q155" s="465"/>
      <c r="R155" s="465"/>
      <c r="S155" s="465"/>
      <c r="T155" s="465"/>
      <c r="U155" s="465"/>
      <c r="V155" s="465"/>
      <c r="W155" s="465"/>
      <c r="X155" s="465"/>
      <c r="Y155" s="465"/>
      <c r="Z155" s="465"/>
      <c r="AA155" s="465"/>
      <c r="AB155" s="465"/>
      <c r="AC155" s="465"/>
      <c r="AD155" s="465"/>
      <c r="AE155" s="465"/>
      <c r="AF155" s="465"/>
      <c r="AG155" s="465"/>
      <c r="AH155" s="465"/>
      <c r="AI155" s="465"/>
      <c r="AJ155" s="465"/>
      <c r="AK155" s="466"/>
    </row>
    <row r="156" spans="1:37" s="62" customFormat="1" ht="33" customHeight="1" x14ac:dyDescent="0.25">
      <c r="A156" s="464"/>
      <c r="B156" s="393"/>
      <c r="C156" s="184"/>
      <c r="D156" s="184"/>
      <c r="E156" s="393"/>
      <c r="F156" s="393"/>
      <c r="G156" s="465"/>
      <c r="H156" s="465"/>
      <c r="I156" s="465"/>
      <c r="J156" s="465"/>
      <c r="K156" s="465"/>
      <c r="L156" s="465"/>
      <c r="M156" s="465"/>
      <c r="N156" s="465"/>
      <c r="O156" s="465"/>
      <c r="P156" s="465"/>
      <c r="Q156" s="465"/>
      <c r="R156" s="465"/>
      <c r="S156" s="465"/>
      <c r="T156" s="465"/>
      <c r="U156" s="465"/>
      <c r="V156" s="465"/>
      <c r="W156" s="465"/>
      <c r="X156" s="465"/>
      <c r="Y156" s="465"/>
      <c r="Z156" s="465"/>
      <c r="AA156" s="465"/>
      <c r="AB156" s="465"/>
      <c r="AC156" s="465"/>
      <c r="AD156" s="465"/>
      <c r="AE156" s="465"/>
      <c r="AF156" s="465"/>
      <c r="AG156" s="465"/>
      <c r="AH156" s="465"/>
      <c r="AI156" s="465"/>
      <c r="AJ156" s="465"/>
      <c r="AK156" s="466"/>
    </row>
    <row r="157" spans="1:37" s="62" customFormat="1" ht="33" customHeight="1" x14ac:dyDescent="0.25">
      <c r="A157" s="464"/>
      <c r="B157" s="393"/>
      <c r="C157" s="184"/>
      <c r="D157" s="184"/>
      <c r="E157" s="393"/>
      <c r="F157" s="393"/>
      <c r="G157" s="465"/>
      <c r="H157" s="465"/>
      <c r="I157" s="465"/>
      <c r="J157" s="465"/>
      <c r="K157" s="465"/>
      <c r="L157" s="465"/>
      <c r="M157" s="465"/>
      <c r="N157" s="465"/>
      <c r="O157" s="465"/>
      <c r="P157" s="465"/>
      <c r="Q157" s="465"/>
      <c r="R157" s="465"/>
      <c r="S157" s="465"/>
      <c r="T157" s="465"/>
      <c r="U157" s="465"/>
      <c r="V157" s="465"/>
      <c r="W157" s="465"/>
      <c r="X157" s="465"/>
      <c r="Y157" s="465"/>
      <c r="Z157" s="465"/>
      <c r="AA157" s="465"/>
      <c r="AB157" s="465"/>
      <c r="AC157" s="465"/>
      <c r="AD157" s="465"/>
      <c r="AE157" s="465"/>
      <c r="AF157" s="465"/>
      <c r="AG157" s="465"/>
      <c r="AH157" s="465"/>
      <c r="AI157" s="465"/>
      <c r="AJ157" s="465"/>
      <c r="AK157" s="466"/>
    </row>
    <row r="158" spans="1:37" s="62" customFormat="1" ht="33" customHeight="1" thickBot="1" x14ac:dyDescent="0.3">
      <c r="A158" s="469"/>
      <c r="B158" s="404"/>
      <c r="C158" s="182"/>
      <c r="D158" s="182"/>
      <c r="E158" s="404"/>
      <c r="F158" s="404"/>
      <c r="G158" s="470"/>
      <c r="H158" s="470"/>
      <c r="I158" s="470"/>
      <c r="J158" s="470"/>
      <c r="K158" s="470"/>
      <c r="L158" s="470"/>
      <c r="M158" s="470"/>
      <c r="N158" s="470"/>
      <c r="O158" s="470"/>
      <c r="P158" s="470"/>
      <c r="Q158" s="470"/>
      <c r="R158" s="470"/>
      <c r="S158" s="470"/>
      <c r="T158" s="470"/>
      <c r="U158" s="470"/>
      <c r="V158" s="470"/>
      <c r="W158" s="470"/>
      <c r="X158" s="470"/>
      <c r="Y158" s="470"/>
      <c r="Z158" s="470"/>
      <c r="AA158" s="470"/>
      <c r="AB158" s="470"/>
      <c r="AC158" s="470"/>
      <c r="AD158" s="470"/>
      <c r="AE158" s="470"/>
      <c r="AF158" s="470"/>
      <c r="AG158" s="470"/>
      <c r="AH158" s="470"/>
      <c r="AI158" s="470"/>
      <c r="AJ158" s="470"/>
      <c r="AK158" s="471"/>
    </row>
    <row r="159" spans="1:37" x14ac:dyDescent="0.25">
      <c r="W159" s="126"/>
      <c r="AF159" s="450"/>
      <c r="AG159" s="450"/>
      <c r="AH159" s="450"/>
      <c r="AI159" s="183"/>
      <c r="AJ159" s="153"/>
      <c r="AK159" s="187" t="str">
        <f>AK78</f>
        <v>8517-0000</v>
      </c>
    </row>
  </sheetData>
  <dataConsolidate link="1"/>
  <mergeCells count="539">
    <mergeCell ref="B43:E43"/>
    <mergeCell ref="AI43:AJ43"/>
    <mergeCell ref="AF159:AH159"/>
    <mergeCell ref="D6:V6"/>
    <mergeCell ref="W4:AB6"/>
    <mergeCell ref="AC4:AE6"/>
    <mergeCell ref="A157:B157"/>
    <mergeCell ref="E157:F157"/>
    <mergeCell ref="G157:AK157"/>
    <mergeCell ref="A158:B158"/>
    <mergeCell ref="E158:F158"/>
    <mergeCell ref="G158:AK158"/>
    <mergeCell ref="A155:B155"/>
    <mergeCell ref="E155:F155"/>
    <mergeCell ref="G155:AK155"/>
    <mergeCell ref="A156:B156"/>
    <mergeCell ref="E156:F156"/>
    <mergeCell ref="G156:AK156"/>
    <mergeCell ref="A153:B153"/>
    <mergeCell ref="E153:F153"/>
    <mergeCell ref="G153:AK153"/>
    <mergeCell ref="A154:B154"/>
    <mergeCell ref="E154:F154"/>
    <mergeCell ref="G154:AK154"/>
    <mergeCell ref="A151:B151"/>
    <mergeCell ref="E151:F151"/>
    <mergeCell ref="G151:AK151"/>
    <mergeCell ref="A152:B152"/>
    <mergeCell ref="E152:F152"/>
    <mergeCell ref="G152:AK152"/>
    <mergeCell ref="A149:B149"/>
    <mergeCell ref="E149:F149"/>
    <mergeCell ref="G149:AK149"/>
    <mergeCell ref="A150:B150"/>
    <mergeCell ref="E150:F150"/>
    <mergeCell ref="G150:AK150"/>
    <mergeCell ref="A147:B147"/>
    <mergeCell ref="E147:F147"/>
    <mergeCell ref="G147:AK147"/>
    <mergeCell ref="A148:B148"/>
    <mergeCell ref="E148:F148"/>
    <mergeCell ref="G148:AK148"/>
    <mergeCell ref="A145:B145"/>
    <mergeCell ref="E145:F145"/>
    <mergeCell ref="G145:AK145"/>
    <mergeCell ref="A146:B146"/>
    <mergeCell ref="E146:F146"/>
    <mergeCell ref="G146:AK146"/>
    <mergeCell ref="A143:B143"/>
    <mergeCell ref="E143:F143"/>
    <mergeCell ref="G143:AK143"/>
    <mergeCell ref="A144:B144"/>
    <mergeCell ref="E144:F144"/>
    <mergeCell ref="G144:AK144"/>
    <mergeCell ref="A141:B141"/>
    <mergeCell ref="E141:F141"/>
    <mergeCell ref="G141:AK141"/>
    <mergeCell ref="A142:B142"/>
    <mergeCell ref="E142:F142"/>
    <mergeCell ref="G142:AK142"/>
    <mergeCell ref="A139:B139"/>
    <mergeCell ref="E139:F139"/>
    <mergeCell ref="G139:AK139"/>
    <mergeCell ref="A140:B140"/>
    <mergeCell ref="E140:F140"/>
    <mergeCell ref="G140:AK140"/>
    <mergeCell ref="A137:B137"/>
    <mergeCell ref="E137:F137"/>
    <mergeCell ref="G137:AK137"/>
    <mergeCell ref="A138:B138"/>
    <mergeCell ref="E138:F138"/>
    <mergeCell ref="G138:AK138"/>
    <mergeCell ref="A135:B135"/>
    <mergeCell ref="E135:F135"/>
    <mergeCell ref="G135:AK135"/>
    <mergeCell ref="A136:B136"/>
    <mergeCell ref="E136:F136"/>
    <mergeCell ref="G136:AK136"/>
    <mergeCell ref="A133:B133"/>
    <mergeCell ref="E133:F133"/>
    <mergeCell ref="G133:AK133"/>
    <mergeCell ref="A134:B134"/>
    <mergeCell ref="E134:F134"/>
    <mergeCell ref="G134:AK134"/>
    <mergeCell ref="A131:B131"/>
    <mergeCell ref="E131:F131"/>
    <mergeCell ref="G131:AK131"/>
    <mergeCell ref="A132:B132"/>
    <mergeCell ref="E132:F132"/>
    <mergeCell ref="G132:AK132"/>
    <mergeCell ref="A129:B129"/>
    <mergeCell ref="E129:F129"/>
    <mergeCell ref="G129:AK129"/>
    <mergeCell ref="A130:B130"/>
    <mergeCell ref="E130:F130"/>
    <mergeCell ref="G130:AK130"/>
    <mergeCell ref="AI110:AJ110"/>
    <mergeCell ref="V111:V113"/>
    <mergeCell ref="W111:W113"/>
    <mergeCell ref="A123:H123"/>
    <mergeCell ref="AI123:AK125"/>
    <mergeCell ref="A124:H124"/>
    <mergeCell ref="A125:H125"/>
    <mergeCell ref="AF127:AH127"/>
    <mergeCell ref="A128:B128"/>
    <mergeCell ref="E128:F128"/>
    <mergeCell ref="G128:AK128"/>
    <mergeCell ref="X111:X113"/>
    <mergeCell ref="Y111:Y113"/>
    <mergeCell ref="Z111:Z113"/>
    <mergeCell ref="AA111:AA113"/>
    <mergeCell ref="AB111:AB113"/>
    <mergeCell ref="AC111:AC113"/>
    <mergeCell ref="AD111:AD113"/>
    <mergeCell ref="AE111:AE113"/>
    <mergeCell ref="AF111:AF113"/>
    <mergeCell ref="AG111:AG113"/>
    <mergeCell ref="AH111:AH113"/>
    <mergeCell ref="I114:I116"/>
    <mergeCell ref="J114:J116"/>
    <mergeCell ref="A108:H108"/>
    <mergeCell ref="A109:H109"/>
    <mergeCell ref="AC100:AC107"/>
    <mergeCell ref="AD100:AD107"/>
    <mergeCell ref="AE100:AE107"/>
    <mergeCell ref="AF100:AF107"/>
    <mergeCell ref="AG100:AG107"/>
    <mergeCell ref="AH100:AH107"/>
    <mergeCell ref="A110:H110"/>
    <mergeCell ref="AG92:AG99"/>
    <mergeCell ref="AH92:AH99"/>
    <mergeCell ref="K100:K107"/>
    <mergeCell ref="L100:L107"/>
    <mergeCell ref="M100:M107"/>
    <mergeCell ref="N100:N107"/>
    <mergeCell ref="O100:O107"/>
    <mergeCell ref="P100:P107"/>
    <mergeCell ref="Q100:Q107"/>
    <mergeCell ref="R100:R107"/>
    <mergeCell ref="S100:S107"/>
    <mergeCell ref="T100:T107"/>
    <mergeCell ref="U100:U107"/>
    <mergeCell ref="V100:V107"/>
    <mergeCell ref="W100:W107"/>
    <mergeCell ref="X100:X107"/>
    <mergeCell ref="Y100:Y107"/>
    <mergeCell ref="Z100:Z107"/>
    <mergeCell ref="AA100:AA107"/>
    <mergeCell ref="AB100:AB107"/>
    <mergeCell ref="AI89:AJ89"/>
    <mergeCell ref="AI90:AJ90"/>
    <mergeCell ref="AF84:AH84"/>
    <mergeCell ref="AI84:AK84"/>
    <mergeCell ref="K92:K99"/>
    <mergeCell ref="L92:L99"/>
    <mergeCell ref="M92:M99"/>
    <mergeCell ref="N92:N99"/>
    <mergeCell ref="O92:O99"/>
    <mergeCell ref="P92:P99"/>
    <mergeCell ref="Q92:Q99"/>
    <mergeCell ref="R92:R99"/>
    <mergeCell ref="S92:S99"/>
    <mergeCell ref="T92:T99"/>
    <mergeCell ref="U92:U99"/>
    <mergeCell ref="V92:V99"/>
    <mergeCell ref="W92:W99"/>
    <mergeCell ref="X92:X99"/>
    <mergeCell ref="AI91:AJ91"/>
    <mergeCell ref="Y92:Y99"/>
    <mergeCell ref="Z92:Z99"/>
    <mergeCell ref="AA92:AA99"/>
    <mergeCell ref="AB92:AB99"/>
    <mergeCell ref="AC92:AC99"/>
    <mergeCell ref="A86:A87"/>
    <mergeCell ref="B86:D87"/>
    <mergeCell ref="F86:F87"/>
    <mergeCell ref="G86:H87"/>
    <mergeCell ref="I86:AH87"/>
    <mergeCell ref="AI86:AK86"/>
    <mergeCell ref="A84:B84"/>
    <mergeCell ref="AI87:AJ87"/>
    <mergeCell ref="AI88:AJ88"/>
    <mergeCell ref="AF82:AH82"/>
    <mergeCell ref="AI82:AK82"/>
    <mergeCell ref="A83:C83"/>
    <mergeCell ref="D83:M83"/>
    <mergeCell ref="N83:R83"/>
    <mergeCell ref="S83:V83"/>
    <mergeCell ref="AF83:AH83"/>
    <mergeCell ref="AI83:AK83"/>
    <mergeCell ref="A82:C82"/>
    <mergeCell ref="D82:M82"/>
    <mergeCell ref="N82:R82"/>
    <mergeCell ref="S82:V82"/>
    <mergeCell ref="A77:B77"/>
    <mergeCell ref="E77:F77"/>
    <mergeCell ref="G77:AK77"/>
    <mergeCell ref="AF78:AH78"/>
    <mergeCell ref="A79:P81"/>
    <mergeCell ref="Q79:W81"/>
    <mergeCell ref="X79:AK81"/>
    <mergeCell ref="A75:B75"/>
    <mergeCell ref="E75:F75"/>
    <mergeCell ref="G75:AK75"/>
    <mergeCell ref="A76:B76"/>
    <mergeCell ref="E76:F76"/>
    <mergeCell ref="G76:AK76"/>
    <mergeCell ref="A73:B73"/>
    <mergeCell ref="E73:F73"/>
    <mergeCell ref="G73:AK73"/>
    <mergeCell ref="A74:B74"/>
    <mergeCell ref="E74:F74"/>
    <mergeCell ref="G74:AK74"/>
    <mergeCell ref="A71:B71"/>
    <mergeCell ref="E71:F71"/>
    <mergeCell ref="G71:AK71"/>
    <mergeCell ref="A72:B72"/>
    <mergeCell ref="E72:F72"/>
    <mergeCell ref="G72:AK72"/>
    <mergeCell ref="A69:B69"/>
    <mergeCell ref="E69:F69"/>
    <mergeCell ref="G69:AK69"/>
    <mergeCell ref="A70:B70"/>
    <mergeCell ref="E70:F70"/>
    <mergeCell ref="G70:AK70"/>
    <mergeCell ref="A67:B67"/>
    <mergeCell ref="E67:F67"/>
    <mergeCell ref="G67:AK67"/>
    <mergeCell ref="A68:B68"/>
    <mergeCell ref="E68:F68"/>
    <mergeCell ref="G68:AK68"/>
    <mergeCell ref="A65:B65"/>
    <mergeCell ref="E65:F65"/>
    <mergeCell ref="G65:AK65"/>
    <mergeCell ref="A66:B66"/>
    <mergeCell ref="E66:F66"/>
    <mergeCell ref="G66:AK66"/>
    <mergeCell ref="A63:B63"/>
    <mergeCell ref="E63:F63"/>
    <mergeCell ref="G63:AK63"/>
    <mergeCell ref="A64:B64"/>
    <mergeCell ref="E64:F64"/>
    <mergeCell ref="G64:AK64"/>
    <mergeCell ref="A61:B61"/>
    <mergeCell ref="E61:F61"/>
    <mergeCell ref="G61:AK61"/>
    <mergeCell ref="A62:B62"/>
    <mergeCell ref="E62:F62"/>
    <mergeCell ref="G62:AK62"/>
    <mergeCell ref="A59:B59"/>
    <mergeCell ref="E59:F59"/>
    <mergeCell ref="G59:AK59"/>
    <mergeCell ref="A60:B60"/>
    <mergeCell ref="E60:F60"/>
    <mergeCell ref="G60:AK60"/>
    <mergeCell ref="E57:F57"/>
    <mergeCell ref="G57:AK57"/>
    <mergeCell ref="A58:B58"/>
    <mergeCell ref="E58:F58"/>
    <mergeCell ref="G58:AK58"/>
    <mergeCell ref="A55:B55"/>
    <mergeCell ref="E55:F55"/>
    <mergeCell ref="G55:AK55"/>
    <mergeCell ref="A56:B56"/>
    <mergeCell ref="E56:F56"/>
    <mergeCell ref="G56:AK56"/>
    <mergeCell ref="B33:E33"/>
    <mergeCell ref="AI33:AJ33"/>
    <mergeCell ref="B34:E34"/>
    <mergeCell ref="AI34:AJ34"/>
    <mergeCell ref="B35:E35"/>
    <mergeCell ref="AI35:AJ35"/>
    <mergeCell ref="B36:E36"/>
    <mergeCell ref="AI36:AJ36"/>
    <mergeCell ref="B37:E37"/>
    <mergeCell ref="AI37:AJ37"/>
    <mergeCell ref="AF46:AH46"/>
    <mergeCell ref="A49:B49"/>
    <mergeCell ref="E49:F49"/>
    <mergeCell ref="G49:AK49"/>
    <mergeCell ref="A50:B50"/>
    <mergeCell ref="E50:F50"/>
    <mergeCell ref="G50:AK50"/>
    <mergeCell ref="A47:B47"/>
    <mergeCell ref="E47:F47"/>
    <mergeCell ref="G47:AK47"/>
    <mergeCell ref="A48:B48"/>
    <mergeCell ref="E48:F48"/>
    <mergeCell ref="G48:AK48"/>
    <mergeCell ref="B44:E44"/>
    <mergeCell ref="AI44:AJ44"/>
    <mergeCell ref="AI45:AJ45"/>
    <mergeCell ref="B25:E25"/>
    <mergeCell ref="AI25:AJ25"/>
    <mergeCell ref="B26:E26"/>
    <mergeCell ref="AI26:AJ26"/>
    <mergeCell ref="B27:E27"/>
    <mergeCell ref="AI27:AJ27"/>
    <mergeCell ref="B28:E28"/>
    <mergeCell ref="AI28:AJ28"/>
    <mergeCell ref="B29:E29"/>
    <mergeCell ref="AI29:AJ29"/>
    <mergeCell ref="B38:E38"/>
    <mergeCell ref="AI38:AJ38"/>
    <mergeCell ref="B39:E39"/>
    <mergeCell ref="AI39:AJ39"/>
    <mergeCell ref="B40:E40"/>
    <mergeCell ref="AI40:AJ40"/>
    <mergeCell ref="B41:E41"/>
    <mergeCell ref="AI41:AJ41"/>
    <mergeCell ref="B42:E42"/>
    <mergeCell ref="AI42:AJ42"/>
    <mergeCell ref="AI32:AJ32"/>
    <mergeCell ref="B23:E23"/>
    <mergeCell ref="AI23:AJ23"/>
    <mergeCell ref="B24:E24"/>
    <mergeCell ref="AI24:AJ24"/>
    <mergeCell ref="B19:E19"/>
    <mergeCell ref="AI19:AJ19"/>
    <mergeCell ref="B20:E20"/>
    <mergeCell ref="AI20:AJ20"/>
    <mergeCell ref="B21:E21"/>
    <mergeCell ref="AI21:AJ21"/>
    <mergeCell ref="B18:E18"/>
    <mergeCell ref="AI18:AJ18"/>
    <mergeCell ref="B13:E13"/>
    <mergeCell ref="AI13:AJ13"/>
    <mergeCell ref="B14:E14"/>
    <mergeCell ref="AI14:AJ14"/>
    <mergeCell ref="B15:E15"/>
    <mergeCell ref="AI15:AJ15"/>
    <mergeCell ref="B22:E22"/>
    <mergeCell ref="AI22:AJ22"/>
    <mergeCell ref="B11:E11"/>
    <mergeCell ref="AI11:AJ11"/>
    <mergeCell ref="B12:E12"/>
    <mergeCell ref="AI12:AJ12"/>
    <mergeCell ref="AF6:AH6"/>
    <mergeCell ref="AI6:AK6"/>
    <mergeCell ref="B16:E16"/>
    <mergeCell ref="AI16:AJ16"/>
    <mergeCell ref="B17:E17"/>
    <mergeCell ref="AI17:AJ17"/>
    <mergeCell ref="A5:C5"/>
    <mergeCell ref="D5:M5"/>
    <mergeCell ref="N5:R5"/>
    <mergeCell ref="S5:V5"/>
    <mergeCell ref="AF5:AH5"/>
    <mergeCell ref="AI5:AK5"/>
    <mergeCell ref="AI9:AJ9"/>
    <mergeCell ref="B10:E10"/>
    <mergeCell ref="AI10:AJ10"/>
    <mergeCell ref="A1:P3"/>
    <mergeCell ref="Q1:W3"/>
    <mergeCell ref="X1:AK3"/>
    <mergeCell ref="A4:C4"/>
    <mergeCell ref="D4:M4"/>
    <mergeCell ref="N4:R4"/>
    <mergeCell ref="S4:V4"/>
    <mergeCell ref="AF4:AH4"/>
    <mergeCell ref="D84:V84"/>
    <mergeCell ref="W82:AB84"/>
    <mergeCell ref="AC82:AE84"/>
    <mergeCell ref="B30:E30"/>
    <mergeCell ref="AI30:AJ30"/>
    <mergeCell ref="B31:E31"/>
    <mergeCell ref="AI31:AJ31"/>
    <mergeCell ref="B32:E32"/>
    <mergeCell ref="A8:A9"/>
    <mergeCell ref="B8:D9"/>
    <mergeCell ref="F8:F9"/>
    <mergeCell ref="G8:H9"/>
    <mergeCell ref="I8:AH9"/>
    <mergeCell ref="AI8:AK8"/>
    <mergeCell ref="A6:B6"/>
    <mergeCell ref="AI4:AK4"/>
    <mergeCell ref="A45:H45"/>
    <mergeCell ref="A88:H88"/>
    <mergeCell ref="A89:H89"/>
    <mergeCell ref="A90:H90"/>
    <mergeCell ref="A91:H91"/>
    <mergeCell ref="A92:H99"/>
    <mergeCell ref="A100:H107"/>
    <mergeCell ref="I92:I99"/>
    <mergeCell ref="J92:J99"/>
    <mergeCell ref="I100:I107"/>
    <mergeCell ref="J100:J107"/>
    <mergeCell ref="A53:B53"/>
    <mergeCell ref="E53:F53"/>
    <mergeCell ref="G53:AK53"/>
    <mergeCell ref="A54:B54"/>
    <mergeCell ref="E54:F54"/>
    <mergeCell ref="G54:AK54"/>
    <mergeCell ref="A51:B51"/>
    <mergeCell ref="E51:F51"/>
    <mergeCell ref="G51:AK51"/>
    <mergeCell ref="A52:B52"/>
    <mergeCell ref="E52:F52"/>
    <mergeCell ref="G52:AK52"/>
    <mergeCell ref="A57:B57"/>
    <mergeCell ref="AI92:AJ99"/>
    <mergeCell ref="AK92:AK99"/>
    <mergeCell ref="AI100:AJ107"/>
    <mergeCell ref="AK100:AK107"/>
    <mergeCell ref="H111:H113"/>
    <mergeCell ref="H114:H116"/>
    <mergeCell ref="H117:H119"/>
    <mergeCell ref="H120:H122"/>
    <mergeCell ref="I111:I113"/>
    <mergeCell ref="J111:J113"/>
    <mergeCell ref="K111:K113"/>
    <mergeCell ref="L111:L113"/>
    <mergeCell ref="M111:M113"/>
    <mergeCell ref="N111:N113"/>
    <mergeCell ref="O111:O113"/>
    <mergeCell ref="P111:P113"/>
    <mergeCell ref="Q111:Q113"/>
    <mergeCell ref="R111:R113"/>
    <mergeCell ref="S111:S113"/>
    <mergeCell ref="T111:T113"/>
    <mergeCell ref="U111:U113"/>
    <mergeCell ref="AD92:AD99"/>
    <mergeCell ref="AE92:AE99"/>
    <mergeCell ref="AF92:AF99"/>
    <mergeCell ref="AA114:AA116"/>
    <mergeCell ref="AB114:AB116"/>
    <mergeCell ref="K114:K116"/>
    <mergeCell ref="L114:L116"/>
    <mergeCell ref="M114:M116"/>
    <mergeCell ref="N114:N116"/>
    <mergeCell ref="O114:O116"/>
    <mergeCell ref="P114:P116"/>
    <mergeCell ref="Q114:Q116"/>
    <mergeCell ref="R114:R116"/>
    <mergeCell ref="S114:S116"/>
    <mergeCell ref="Y117:Y119"/>
    <mergeCell ref="Z117:Z119"/>
    <mergeCell ref="T114:T116"/>
    <mergeCell ref="U114:U116"/>
    <mergeCell ref="V114:V116"/>
    <mergeCell ref="W114:W116"/>
    <mergeCell ref="X114:X116"/>
    <mergeCell ref="Y114:Y116"/>
    <mergeCell ref="Z114:Z116"/>
    <mergeCell ref="AA120:AA122"/>
    <mergeCell ref="AB120:AB122"/>
    <mergeCell ref="AC114:AC116"/>
    <mergeCell ref="AD114:AD116"/>
    <mergeCell ref="AE114:AE116"/>
    <mergeCell ref="AF114:AF116"/>
    <mergeCell ref="AG114:AG116"/>
    <mergeCell ref="AH114:AH116"/>
    <mergeCell ref="I117:I119"/>
    <mergeCell ref="J117:J119"/>
    <mergeCell ref="K117:K119"/>
    <mergeCell ref="L117:L119"/>
    <mergeCell ref="M117:M119"/>
    <mergeCell ref="N117:N119"/>
    <mergeCell ref="O117:O119"/>
    <mergeCell ref="P117:P119"/>
    <mergeCell ref="Q117:Q119"/>
    <mergeCell ref="R117:R119"/>
    <mergeCell ref="S117:S119"/>
    <mergeCell ref="T117:T119"/>
    <mergeCell ref="U117:U119"/>
    <mergeCell ref="V117:V119"/>
    <mergeCell ref="W117:W119"/>
    <mergeCell ref="X117:X119"/>
    <mergeCell ref="R120:R122"/>
    <mergeCell ref="S120:S122"/>
    <mergeCell ref="T120:T122"/>
    <mergeCell ref="U120:U122"/>
    <mergeCell ref="V120:V122"/>
    <mergeCell ref="W120:W122"/>
    <mergeCell ref="X120:X122"/>
    <mergeCell ref="Y120:Y122"/>
    <mergeCell ref="Z120:Z122"/>
    <mergeCell ref="AC120:AC122"/>
    <mergeCell ref="AD120:AD122"/>
    <mergeCell ref="AE120:AE122"/>
    <mergeCell ref="AF120:AF122"/>
    <mergeCell ref="AG120:AG122"/>
    <mergeCell ref="AH120:AH122"/>
    <mergeCell ref="A111:G122"/>
    <mergeCell ref="AC117:AC119"/>
    <mergeCell ref="AD117:AD119"/>
    <mergeCell ref="AE117:AE119"/>
    <mergeCell ref="AF117:AF119"/>
    <mergeCell ref="AG117:AG119"/>
    <mergeCell ref="AH117:AH119"/>
    <mergeCell ref="I120:I122"/>
    <mergeCell ref="J120:J122"/>
    <mergeCell ref="K120:K122"/>
    <mergeCell ref="L120:L122"/>
    <mergeCell ref="M120:M122"/>
    <mergeCell ref="N120:N122"/>
    <mergeCell ref="O120:O122"/>
    <mergeCell ref="P120:P122"/>
    <mergeCell ref="Q120:Q122"/>
    <mergeCell ref="AA117:AA119"/>
    <mergeCell ref="AB117:AB119"/>
    <mergeCell ref="AI111:AK122"/>
    <mergeCell ref="A126:H126"/>
    <mergeCell ref="AI126:AJ126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40:H40"/>
    <mergeCell ref="G41:H41"/>
    <mergeCell ref="G42:H42"/>
    <mergeCell ref="G43:H43"/>
    <mergeCell ref="G44:H44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</mergeCells>
  <conditionalFormatting sqref="G10:G44">
    <cfRule type="cellIs" dxfId="1" priority="4" operator="equal">
      <formula>0</formula>
    </cfRule>
  </conditionalFormatting>
  <dataValidations disablePrompts="1" count="1">
    <dataValidation type="list" allowBlank="1" showInputMessage="1" showErrorMessage="1" errorTitle="Vybrat ze seznamu" error="Oblast je potřeba vybrat ze seznamu (označení pracoviště)_x000a__x000a_Žluté_x000a_Modré_x000a_Zelené" sqref="AI5:AK5">
      <formula1>$AN$9:$AN$12</formula1>
    </dataValidation>
  </dataValidations>
  <printOptions horizontalCentered="1"/>
  <pageMargins left="0.19685039370078741" right="0.19685039370078741" top="0.19685039370078741" bottom="0.27559055118110237" header="0.31496062992125984" footer="0.31496062992125984"/>
  <pageSetup paperSize="9" scale="54" orientation="landscape" r:id="rId1"/>
  <headerFooter>
    <oddFooter>&amp;LFB_7602-03-032c_KOCR_Z (4.19)&amp;C&amp;Z&amp;F&amp;RRL_17-60-129_KOCR_Z</oddFooter>
  </headerFooter>
  <rowBreaks count="2" manualBreakCount="2">
    <brk id="46" max="36" man="1"/>
    <brk id="78" max="36" man="1"/>
  </rowBreaks>
  <drawing r:id="rId2"/>
  <legacyDrawing r:id="rId3"/>
  <oleObjects>
    <mc:AlternateContent xmlns:mc="http://schemas.openxmlformats.org/markup-compatibility/2006">
      <mc:Choice Requires="x14">
        <oleObject progId="Word.Picture.8" shapeId="4099" r:id="rId4">
          <objectPr defaultSize="0" autoPict="0" r:id="rId5">
            <anchor moveWithCells="1">
              <from>
                <xdr:col>34</xdr:col>
                <xdr:colOff>0</xdr:colOff>
                <xdr:row>0</xdr:row>
                <xdr:rowOff>66675</xdr:rowOff>
              </from>
              <to>
                <xdr:col>36</xdr:col>
                <xdr:colOff>828675</xdr:colOff>
                <xdr:row>2</xdr:row>
                <xdr:rowOff>123825</xdr:rowOff>
              </to>
            </anchor>
          </objectPr>
        </oleObject>
      </mc:Choice>
      <mc:Fallback>
        <oleObject progId="Word.Picture.8" shapeId="4099" r:id="rId4"/>
      </mc:Fallback>
    </mc:AlternateContent>
    <mc:AlternateContent xmlns:mc="http://schemas.openxmlformats.org/markup-compatibility/2006">
      <mc:Choice Requires="x14">
        <oleObject progId="Word.Picture.8" shapeId="4105" r:id="rId6">
          <objectPr defaultSize="0" autoPict="0" r:id="rId5">
            <anchor moveWithCells="1">
              <from>
                <xdr:col>34</xdr:col>
                <xdr:colOff>0</xdr:colOff>
                <xdr:row>78</xdr:row>
                <xdr:rowOff>66675</xdr:rowOff>
              </from>
              <to>
                <xdr:col>36</xdr:col>
                <xdr:colOff>828675</xdr:colOff>
                <xdr:row>80</xdr:row>
                <xdr:rowOff>123825</xdr:rowOff>
              </to>
            </anchor>
          </objectPr>
        </oleObject>
      </mc:Choice>
      <mc:Fallback>
        <oleObject progId="Word.Picture.8" shapeId="4105" r:id="rId6"/>
      </mc:Fallback>
    </mc:AlternateContent>
  </oleObjects>
  <controls>
    <mc:AlternateContent xmlns:mc="http://schemas.openxmlformats.org/markup-compatibility/2006">
      <mc:Choice Requires="x14">
        <control shapeId="4101" r:id="rId7" name="vytvorATR">
          <controlPr defaultSize="0" autoLine="0" r:id="rId8">
            <anchor moveWithCells="1">
              <from>
                <xdr:col>42</xdr:col>
                <xdr:colOff>533400</xdr:colOff>
                <xdr:row>0</xdr:row>
                <xdr:rowOff>85725</xdr:rowOff>
              </from>
              <to>
                <xdr:col>47</xdr:col>
                <xdr:colOff>219075</xdr:colOff>
                <xdr:row>3</xdr:row>
                <xdr:rowOff>304800</xdr:rowOff>
              </to>
            </anchor>
          </controlPr>
        </control>
      </mc:Choice>
      <mc:Fallback>
        <control shapeId="4101" r:id="rId7" name="vytvorATR"/>
      </mc:Fallback>
    </mc:AlternateContent>
    <mc:AlternateContent xmlns:mc="http://schemas.openxmlformats.org/markup-compatibility/2006">
      <mc:Choice Requires="x14">
        <control shapeId="4100" r:id="rId9" name="OtevriMenu">
          <controlPr defaultSize="0" autoLine="0" r:id="rId10">
            <anchor moveWithCells="1">
              <from>
                <xdr:col>37</xdr:col>
                <xdr:colOff>152400</xdr:colOff>
                <xdr:row>0</xdr:row>
                <xdr:rowOff>95250</xdr:rowOff>
              </from>
              <to>
                <xdr:col>42</xdr:col>
                <xdr:colOff>447675</xdr:colOff>
                <xdr:row>3</xdr:row>
                <xdr:rowOff>314325</xdr:rowOff>
              </to>
            </anchor>
          </controlPr>
        </control>
      </mc:Choice>
      <mc:Fallback>
        <control shapeId="4100" r:id="rId9" name="OtevriMenu"/>
      </mc:Fallback>
    </mc:AlternateContent>
    <mc:AlternateContent xmlns:mc="http://schemas.openxmlformats.org/markup-compatibility/2006">
      <mc:Choice Requires="x14">
        <control shapeId="4097" r:id="rId11" name="Check Box 1">
          <controlPr locked="0" defaultSize="0" autoFill="0" autoLine="0" autoPict="0">
            <anchor moveWithCells="1">
              <from>
                <xdr:col>19</xdr:col>
                <xdr:colOff>285750</xdr:colOff>
                <xdr:row>1</xdr:row>
                <xdr:rowOff>38100</xdr:rowOff>
              </from>
              <to>
                <xdr:col>20</xdr:col>
                <xdr:colOff>190500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12" name="Check Box 2">
          <controlPr locked="0" defaultSize="0" autoFill="0" autoLine="0" autoPict="0">
            <anchor moveWithCells="1">
              <from>
                <xdr:col>23</xdr:col>
                <xdr:colOff>142875</xdr:colOff>
                <xdr:row>1</xdr:row>
                <xdr:rowOff>28575</xdr:rowOff>
              </from>
              <to>
                <xdr:col>24</xdr:col>
                <xdr:colOff>47625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3" name="Check Box 7">
          <controlPr locked="0" defaultSize="0" autoFill="0" autoLine="0" autoPict="0">
            <anchor moveWithCells="1">
              <from>
                <xdr:col>19</xdr:col>
                <xdr:colOff>285750</xdr:colOff>
                <xdr:row>79</xdr:row>
                <xdr:rowOff>38100</xdr:rowOff>
              </from>
              <to>
                <xdr:col>20</xdr:col>
                <xdr:colOff>190500</xdr:colOff>
                <xdr:row>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14" name="Check Box 8">
          <controlPr locked="0" defaultSize="0" autoFill="0" autoLine="0" autoPict="0">
            <anchor moveWithCells="1">
              <from>
                <xdr:col>23</xdr:col>
                <xdr:colOff>142875</xdr:colOff>
                <xdr:row>79</xdr:row>
                <xdr:rowOff>28575</xdr:rowOff>
              </from>
              <to>
                <xdr:col>24</xdr:col>
                <xdr:colOff>47625</xdr:colOff>
                <xdr:row>80</xdr:row>
                <xdr:rowOff>38100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1:AN81"/>
  <sheetViews>
    <sheetView view="pageBreakPreview" zoomScale="55" zoomScaleNormal="85" zoomScaleSheetLayoutView="55" zoomScalePageLayoutView="85" workbookViewId="0">
      <selection activeCell="E20" sqref="E20:G20"/>
    </sheetView>
  </sheetViews>
  <sheetFormatPr defaultRowHeight="15" x14ac:dyDescent="0.25"/>
  <cols>
    <col min="1" max="1" width="7.85546875" style="50" customWidth="1"/>
    <col min="2" max="2" width="12.42578125" style="50" customWidth="1"/>
    <col min="3" max="3" width="11.28515625" style="50" customWidth="1"/>
    <col min="4" max="4" width="16.28515625" style="50" customWidth="1"/>
    <col min="5" max="5" width="35" style="50" customWidth="1"/>
    <col min="6" max="7" width="8.42578125" style="50" customWidth="1"/>
    <col min="8" max="8" width="8.5703125" style="50" customWidth="1"/>
    <col min="9" max="34" width="4.7109375" style="50" customWidth="1"/>
    <col min="35" max="35" width="3.42578125" style="50" customWidth="1"/>
    <col min="36" max="36" width="12.140625" style="50" customWidth="1"/>
    <col min="37" max="37" width="14.140625" style="50" customWidth="1"/>
    <col min="38" max="39" width="9.140625" style="50"/>
    <col min="40" max="40" width="9.140625" style="50" hidden="1" customWidth="1"/>
    <col min="41" max="16384" width="9.140625" style="50"/>
  </cols>
  <sheetData>
    <row r="1" spans="1:40" ht="10.5" customHeight="1" x14ac:dyDescent="0.25">
      <c r="A1" s="341" t="s">
        <v>135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3" t="s">
        <v>21</v>
      </c>
      <c r="R1" s="343"/>
      <c r="S1" s="343"/>
      <c r="T1" s="343"/>
      <c r="U1" s="343"/>
      <c r="V1" s="343"/>
      <c r="W1" s="343"/>
      <c r="X1" s="345" t="s">
        <v>22</v>
      </c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</row>
    <row r="2" spans="1:40" ht="16.5" customHeight="1" x14ac:dyDescent="0.25">
      <c r="A2" s="341"/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3"/>
      <c r="R2" s="343"/>
      <c r="S2" s="343"/>
      <c r="T2" s="343"/>
      <c r="U2" s="343"/>
      <c r="V2" s="343"/>
      <c r="W2" s="343"/>
      <c r="X2" s="345"/>
      <c r="Y2" s="345"/>
      <c r="Z2" s="345"/>
      <c r="AA2" s="345"/>
      <c r="AB2" s="345"/>
      <c r="AC2" s="345"/>
      <c r="AD2" s="345"/>
      <c r="AE2" s="345"/>
      <c r="AF2" s="345"/>
      <c r="AG2" s="345"/>
      <c r="AH2" s="345"/>
      <c r="AI2" s="345"/>
      <c r="AJ2" s="345"/>
      <c r="AK2" s="345"/>
    </row>
    <row r="3" spans="1:40" ht="12.75" customHeight="1" thickBot="1" x14ac:dyDescent="0.3">
      <c r="A3" s="342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4"/>
      <c r="R3" s="344"/>
      <c r="S3" s="344"/>
      <c r="T3" s="344"/>
      <c r="U3" s="344"/>
      <c r="V3" s="344"/>
      <c r="W3" s="344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  <c r="AK3" s="346"/>
    </row>
    <row r="4" spans="1:40" s="51" customFormat="1" ht="39.950000000000003" customHeight="1" x14ac:dyDescent="0.35">
      <c r="A4" s="347" t="s">
        <v>23</v>
      </c>
      <c r="B4" s="348"/>
      <c r="C4" s="348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8" t="s">
        <v>24</v>
      </c>
      <c r="O4" s="350"/>
      <c r="P4" s="350"/>
      <c r="Q4" s="350"/>
      <c r="R4" s="350"/>
      <c r="S4" s="351"/>
      <c r="T4" s="351"/>
      <c r="U4" s="351"/>
      <c r="V4" s="351"/>
      <c r="W4" s="352" t="s">
        <v>25</v>
      </c>
      <c r="X4" s="353"/>
      <c r="Y4" s="353"/>
      <c r="Z4" s="353"/>
      <c r="AA4" s="353"/>
      <c r="AB4" s="353"/>
      <c r="AC4" s="358" t="s">
        <v>83</v>
      </c>
      <c r="AD4" s="359"/>
      <c r="AE4" s="360"/>
      <c r="AF4" s="348" t="s">
        <v>27</v>
      </c>
      <c r="AG4" s="348"/>
      <c r="AH4" s="348"/>
      <c r="AI4" s="331"/>
      <c r="AJ4" s="331"/>
      <c r="AK4" s="332"/>
      <c r="AN4" s="52" t="s">
        <v>28</v>
      </c>
    </row>
    <row r="5" spans="1:40" s="51" customFormat="1" ht="39.950000000000003" customHeight="1" x14ac:dyDescent="0.25">
      <c r="A5" s="333" t="s">
        <v>29</v>
      </c>
      <c r="B5" s="334"/>
      <c r="C5" s="334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4" t="s">
        <v>30</v>
      </c>
      <c r="O5" s="336"/>
      <c r="P5" s="336"/>
      <c r="Q5" s="336"/>
      <c r="R5" s="336"/>
      <c r="S5" s="337">
        <f ca="1">(TODAY())</f>
        <v>44397</v>
      </c>
      <c r="T5" s="338"/>
      <c r="U5" s="338"/>
      <c r="V5" s="338"/>
      <c r="W5" s="539"/>
      <c r="X5" s="540"/>
      <c r="Y5" s="540"/>
      <c r="Z5" s="540"/>
      <c r="AA5" s="540"/>
      <c r="AB5" s="540"/>
      <c r="AC5" s="566"/>
      <c r="AD5" s="543"/>
      <c r="AE5" s="544"/>
      <c r="AF5" s="334" t="s">
        <v>31</v>
      </c>
      <c r="AG5" s="334"/>
      <c r="AH5" s="334"/>
      <c r="AI5" s="339"/>
      <c r="AJ5" s="339"/>
      <c r="AK5" s="340"/>
      <c r="AN5" s="51" t="s">
        <v>33</v>
      </c>
    </row>
    <row r="6" spans="1:40" s="51" customFormat="1" ht="39.950000000000003" customHeight="1" thickBot="1" x14ac:dyDescent="0.3">
      <c r="A6" s="378" t="s">
        <v>34</v>
      </c>
      <c r="B6" s="379"/>
      <c r="C6" s="53" t="s">
        <v>35</v>
      </c>
      <c r="D6" s="380" t="s">
        <v>101</v>
      </c>
      <c r="E6" s="380"/>
      <c r="F6" s="381" t="s">
        <v>37</v>
      </c>
      <c r="G6" s="381"/>
      <c r="H6" s="379"/>
      <c r="I6" s="54" t="s">
        <v>38</v>
      </c>
      <c r="J6" s="380"/>
      <c r="K6" s="380"/>
      <c r="L6" s="380"/>
      <c r="M6" s="380"/>
      <c r="N6" s="372" t="s">
        <v>39</v>
      </c>
      <c r="O6" s="382"/>
      <c r="P6" s="382"/>
      <c r="Q6" s="382"/>
      <c r="R6" s="382"/>
      <c r="S6" s="383"/>
      <c r="T6" s="383"/>
      <c r="U6" s="383"/>
      <c r="V6" s="383"/>
      <c r="W6" s="541"/>
      <c r="X6" s="542"/>
      <c r="Y6" s="542"/>
      <c r="Z6" s="542"/>
      <c r="AA6" s="542"/>
      <c r="AB6" s="542"/>
      <c r="AC6" s="567"/>
      <c r="AD6" s="545"/>
      <c r="AE6" s="546"/>
      <c r="AF6" s="372" t="s">
        <v>41</v>
      </c>
      <c r="AG6" s="372"/>
      <c r="AH6" s="372"/>
      <c r="AI6" s="383"/>
      <c r="AJ6" s="383"/>
      <c r="AK6" s="400"/>
      <c r="AN6" s="51" t="s">
        <v>26</v>
      </c>
    </row>
    <row r="7" spans="1:40" s="61" customFormat="1" ht="8.25" customHeight="1" thickBot="1" x14ac:dyDescent="0.3">
      <c r="A7" s="55"/>
      <c r="B7" s="55"/>
      <c r="C7" s="56"/>
      <c r="D7" s="57"/>
      <c r="E7" s="57"/>
      <c r="F7" s="58"/>
      <c r="G7" s="58"/>
      <c r="H7" s="58"/>
      <c r="I7" s="57"/>
      <c r="J7" s="57"/>
      <c r="K7" s="57"/>
      <c r="L7" s="57"/>
      <c r="M7" s="57"/>
      <c r="N7" s="55"/>
      <c r="O7" s="59"/>
      <c r="P7" s="59"/>
      <c r="Q7" s="59"/>
      <c r="R7" s="59"/>
      <c r="S7" s="56"/>
      <c r="T7" s="56"/>
      <c r="U7" s="56"/>
      <c r="V7" s="56"/>
      <c r="W7" s="59"/>
      <c r="X7" s="59"/>
      <c r="Y7" s="57"/>
      <c r="Z7" s="57"/>
      <c r="AA7" s="57"/>
      <c r="AB7" s="57"/>
      <c r="AC7" s="57"/>
      <c r="AD7" s="57"/>
      <c r="AE7" s="57"/>
      <c r="AF7" s="55"/>
      <c r="AG7" s="55"/>
      <c r="AH7" s="55"/>
      <c r="AI7" s="60"/>
      <c r="AJ7" s="60"/>
      <c r="AK7" s="60"/>
    </row>
    <row r="8" spans="1:40" s="62" customFormat="1" ht="35.25" customHeight="1" x14ac:dyDescent="0.25">
      <c r="A8" s="364" t="s">
        <v>98</v>
      </c>
      <c r="B8" s="384" t="s">
        <v>43</v>
      </c>
      <c r="C8" s="385"/>
      <c r="D8" s="385"/>
      <c r="E8" s="134" t="s">
        <v>82</v>
      </c>
      <c r="F8" s="388" t="s">
        <v>84</v>
      </c>
      <c r="G8" s="366" t="s">
        <v>44</v>
      </c>
      <c r="H8" s="367"/>
      <c r="I8" s="347" t="s">
        <v>45</v>
      </c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D8" s="348"/>
      <c r="AE8" s="348"/>
      <c r="AF8" s="348"/>
      <c r="AG8" s="348"/>
      <c r="AH8" s="370"/>
      <c r="AI8" s="374" t="s">
        <v>46</v>
      </c>
      <c r="AJ8" s="374"/>
      <c r="AK8" s="375"/>
    </row>
    <row r="9" spans="1:40" s="62" customFormat="1" ht="33.75" customHeight="1" thickBot="1" x14ac:dyDescent="0.3">
      <c r="A9" s="365"/>
      <c r="B9" s="386"/>
      <c r="C9" s="387"/>
      <c r="D9" s="387"/>
      <c r="E9" s="147" t="str">
        <f>MID(KI!B2,1,12)</f>
        <v>KI-xxx-xx-xx</v>
      </c>
      <c r="F9" s="389"/>
      <c r="G9" s="368"/>
      <c r="H9" s="369"/>
      <c r="I9" s="371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3"/>
      <c r="AI9" s="376" t="s">
        <v>47</v>
      </c>
      <c r="AJ9" s="377"/>
      <c r="AK9" s="63" t="s">
        <v>48</v>
      </c>
      <c r="AN9" s="62" t="s">
        <v>32</v>
      </c>
    </row>
    <row r="10" spans="1:40" s="62" customFormat="1" ht="21.95" customHeight="1" x14ac:dyDescent="0.25">
      <c r="A10" s="64">
        <v>1</v>
      </c>
      <c r="B10" s="401"/>
      <c r="C10" s="401"/>
      <c r="D10" s="401"/>
      <c r="E10" s="401"/>
      <c r="F10" s="136"/>
      <c r="G10" s="142"/>
      <c r="H10" s="143"/>
      <c r="I10" s="65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66"/>
      <c r="Z10" s="66"/>
      <c r="AA10" s="66"/>
      <c r="AB10" s="66"/>
      <c r="AC10" s="66"/>
      <c r="AD10" s="66"/>
      <c r="AE10" s="66"/>
      <c r="AF10" s="66"/>
      <c r="AG10" s="66"/>
      <c r="AH10" s="68"/>
      <c r="AI10" s="390"/>
      <c r="AJ10" s="391"/>
      <c r="AK10" s="69"/>
      <c r="AN10" s="62" t="s">
        <v>49</v>
      </c>
    </row>
    <row r="11" spans="1:40" s="62" customFormat="1" ht="21.95" customHeight="1" x14ac:dyDescent="0.25">
      <c r="A11" s="70" t="str">
        <f>IF(B11&lt;&gt;"",A10+1,"")</f>
        <v/>
      </c>
      <c r="B11" s="402"/>
      <c r="C11" s="402"/>
      <c r="D11" s="402"/>
      <c r="E11" s="402"/>
      <c r="F11" s="148"/>
      <c r="G11" s="141"/>
      <c r="H11" s="144"/>
      <c r="I11" s="71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3"/>
      <c r="Y11" s="72"/>
      <c r="Z11" s="72"/>
      <c r="AA11" s="72"/>
      <c r="AB11" s="72"/>
      <c r="AC11" s="72"/>
      <c r="AD11" s="72"/>
      <c r="AE11" s="72"/>
      <c r="AF11" s="72"/>
      <c r="AG11" s="72"/>
      <c r="AH11" s="74"/>
      <c r="AI11" s="392"/>
      <c r="AJ11" s="393"/>
      <c r="AK11" s="75"/>
      <c r="AN11" s="62" t="s">
        <v>50</v>
      </c>
    </row>
    <row r="12" spans="1:40" s="62" customFormat="1" ht="21.95" customHeight="1" x14ac:dyDescent="0.25">
      <c r="A12" s="70" t="str">
        <f t="shared" ref="A12:A28" si="0">IF(B12&lt;&gt;"",A11+1,"")</f>
        <v/>
      </c>
      <c r="B12" s="402"/>
      <c r="C12" s="402"/>
      <c r="D12" s="402"/>
      <c r="E12" s="402"/>
      <c r="F12" s="148"/>
      <c r="G12" s="141"/>
      <c r="H12" s="144"/>
      <c r="I12" s="71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3"/>
      <c r="Y12" s="72"/>
      <c r="Z12" s="72"/>
      <c r="AA12" s="72"/>
      <c r="AB12" s="72"/>
      <c r="AC12" s="72"/>
      <c r="AD12" s="72"/>
      <c r="AE12" s="72"/>
      <c r="AF12" s="72"/>
      <c r="AG12" s="72"/>
      <c r="AH12" s="74"/>
      <c r="AI12" s="392"/>
      <c r="AJ12" s="393"/>
      <c r="AK12" s="75"/>
      <c r="AN12" s="62" t="s">
        <v>51</v>
      </c>
    </row>
    <row r="13" spans="1:40" s="62" customFormat="1" ht="21.95" customHeight="1" x14ac:dyDescent="0.25">
      <c r="A13" s="70" t="str">
        <f t="shared" si="0"/>
        <v/>
      </c>
      <c r="B13" s="402"/>
      <c r="C13" s="402"/>
      <c r="D13" s="402"/>
      <c r="E13" s="402"/>
      <c r="F13" s="148"/>
      <c r="G13" s="141"/>
      <c r="H13" s="144"/>
      <c r="I13" s="71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3"/>
      <c r="Y13" s="72"/>
      <c r="Z13" s="72"/>
      <c r="AA13" s="72"/>
      <c r="AB13" s="72"/>
      <c r="AC13" s="72"/>
      <c r="AD13" s="72"/>
      <c r="AE13" s="72"/>
      <c r="AF13" s="72"/>
      <c r="AG13" s="72"/>
      <c r="AH13" s="74"/>
      <c r="AI13" s="392"/>
      <c r="AJ13" s="393"/>
      <c r="AK13" s="75"/>
    </row>
    <row r="14" spans="1:40" s="62" customFormat="1" ht="21.95" customHeight="1" x14ac:dyDescent="0.25">
      <c r="A14" s="70" t="str">
        <f t="shared" si="0"/>
        <v/>
      </c>
      <c r="B14" s="402"/>
      <c r="C14" s="402"/>
      <c r="D14" s="402"/>
      <c r="E14" s="402"/>
      <c r="F14" s="148"/>
      <c r="G14" s="141"/>
      <c r="H14" s="144"/>
      <c r="I14" s="71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3"/>
      <c r="Y14" s="72"/>
      <c r="Z14" s="72"/>
      <c r="AA14" s="72"/>
      <c r="AB14" s="72"/>
      <c r="AC14" s="72"/>
      <c r="AD14" s="72"/>
      <c r="AE14" s="72"/>
      <c r="AF14" s="72"/>
      <c r="AG14" s="72"/>
      <c r="AH14" s="74"/>
      <c r="AI14" s="392"/>
      <c r="AJ14" s="393"/>
      <c r="AK14" s="75"/>
    </row>
    <row r="15" spans="1:40" s="62" customFormat="1" ht="21.95" customHeight="1" x14ac:dyDescent="0.25">
      <c r="A15" s="70" t="str">
        <f t="shared" si="0"/>
        <v/>
      </c>
      <c r="B15" s="402"/>
      <c r="C15" s="402"/>
      <c r="D15" s="402"/>
      <c r="E15" s="402"/>
      <c r="F15" s="148"/>
      <c r="G15" s="141"/>
      <c r="H15" s="144"/>
      <c r="I15" s="71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3"/>
      <c r="Y15" s="72"/>
      <c r="Z15" s="72"/>
      <c r="AA15" s="72"/>
      <c r="AB15" s="72"/>
      <c r="AC15" s="72"/>
      <c r="AD15" s="72"/>
      <c r="AE15" s="72"/>
      <c r="AF15" s="72"/>
      <c r="AG15" s="72"/>
      <c r="AH15" s="74"/>
      <c r="AI15" s="392"/>
      <c r="AJ15" s="393"/>
      <c r="AK15" s="75"/>
    </row>
    <row r="16" spans="1:40" s="62" customFormat="1" ht="21.95" customHeight="1" x14ac:dyDescent="0.25">
      <c r="A16" s="70" t="str">
        <f t="shared" si="0"/>
        <v/>
      </c>
      <c r="B16" s="402"/>
      <c r="C16" s="402"/>
      <c r="D16" s="402"/>
      <c r="E16" s="402"/>
      <c r="F16" s="148"/>
      <c r="G16" s="141"/>
      <c r="H16" s="144"/>
      <c r="I16" s="71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3"/>
      <c r="Y16" s="72"/>
      <c r="Z16" s="72"/>
      <c r="AA16" s="72"/>
      <c r="AB16" s="72"/>
      <c r="AC16" s="72"/>
      <c r="AD16" s="72"/>
      <c r="AE16" s="72"/>
      <c r="AF16" s="72"/>
      <c r="AG16" s="72"/>
      <c r="AH16" s="74"/>
      <c r="AI16" s="392"/>
      <c r="AJ16" s="393"/>
      <c r="AK16" s="75"/>
    </row>
    <row r="17" spans="1:37" s="62" customFormat="1" ht="21.95" customHeight="1" x14ac:dyDescent="0.25">
      <c r="A17" s="70" t="str">
        <f t="shared" si="0"/>
        <v/>
      </c>
      <c r="B17" s="402"/>
      <c r="C17" s="402"/>
      <c r="D17" s="402"/>
      <c r="E17" s="402"/>
      <c r="F17" s="148"/>
      <c r="G17" s="141"/>
      <c r="H17" s="144"/>
      <c r="I17" s="71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3"/>
      <c r="Y17" s="72"/>
      <c r="Z17" s="72"/>
      <c r="AA17" s="72"/>
      <c r="AB17" s="72"/>
      <c r="AC17" s="72"/>
      <c r="AD17" s="72"/>
      <c r="AE17" s="72"/>
      <c r="AF17" s="72"/>
      <c r="AG17" s="72"/>
      <c r="AH17" s="74"/>
      <c r="AI17" s="392"/>
      <c r="AJ17" s="393"/>
      <c r="AK17" s="75"/>
    </row>
    <row r="18" spans="1:37" s="62" customFormat="1" ht="21.95" customHeight="1" x14ac:dyDescent="0.25">
      <c r="A18" s="70" t="str">
        <f t="shared" si="0"/>
        <v/>
      </c>
      <c r="B18" s="402"/>
      <c r="C18" s="402"/>
      <c r="D18" s="402"/>
      <c r="E18" s="402"/>
      <c r="F18" s="148"/>
      <c r="G18" s="141"/>
      <c r="H18" s="144"/>
      <c r="I18" s="71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3"/>
      <c r="Y18" s="72"/>
      <c r="Z18" s="72"/>
      <c r="AA18" s="72"/>
      <c r="AB18" s="72"/>
      <c r="AC18" s="72"/>
      <c r="AD18" s="72"/>
      <c r="AE18" s="72"/>
      <c r="AF18" s="72"/>
      <c r="AG18" s="72"/>
      <c r="AH18" s="74"/>
      <c r="AI18" s="392"/>
      <c r="AJ18" s="393"/>
      <c r="AK18" s="75"/>
    </row>
    <row r="19" spans="1:37" s="62" customFormat="1" ht="21.95" customHeight="1" x14ac:dyDescent="0.25">
      <c r="A19" s="70" t="str">
        <f t="shared" si="0"/>
        <v/>
      </c>
      <c r="B19" s="402"/>
      <c r="C19" s="402"/>
      <c r="D19" s="402"/>
      <c r="E19" s="402"/>
      <c r="F19" s="148"/>
      <c r="G19" s="141"/>
      <c r="H19" s="144"/>
      <c r="I19" s="71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3"/>
      <c r="Y19" s="72"/>
      <c r="Z19" s="72"/>
      <c r="AA19" s="72"/>
      <c r="AB19" s="72"/>
      <c r="AC19" s="72"/>
      <c r="AD19" s="72"/>
      <c r="AE19" s="72"/>
      <c r="AF19" s="72"/>
      <c r="AG19" s="72"/>
      <c r="AH19" s="74"/>
      <c r="AI19" s="392"/>
      <c r="AJ19" s="393"/>
      <c r="AK19" s="75"/>
    </row>
    <row r="20" spans="1:37" s="62" customFormat="1" ht="21.95" customHeight="1" x14ac:dyDescent="0.25">
      <c r="A20" s="70" t="str">
        <f t="shared" si="0"/>
        <v/>
      </c>
      <c r="B20" s="402"/>
      <c r="C20" s="402"/>
      <c r="D20" s="402"/>
      <c r="E20" s="402"/>
      <c r="F20" s="148"/>
      <c r="G20" s="141"/>
      <c r="H20" s="144"/>
      <c r="I20" s="71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3"/>
      <c r="Y20" s="72"/>
      <c r="Z20" s="72"/>
      <c r="AA20" s="72"/>
      <c r="AB20" s="72"/>
      <c r="AC20" s="72"/>
      <c r="AD20" s="72"/>
      <c r="AE20" s="72"/>
      <c r="AF20" s="72"/>
      <c r="AG20" s="72"/>
      <c r="AH20" s="74"/>
      <c r="AI20" s="392"/>
      <c r="AJ20" s="393"/>
      <c r="AK20" s="75"/>
    </row>
    <row r="21" spans="1:37" s="62" customFormat="1" ht="21.95" customHeight="1" x14ac:dyDescent="0.25">
      <c r="A21" s="70" t="str">
        <f t="shared" si="0"/>
        <v/>
      </c>
      <c r="B21" s="402"/>
      <c r="C21" s="402"/>
      <c r="D21" s="402"/>
      <c r="E21" s="402"/>
      <c r="F21" s="148"/>
      <c r="G21" s="141"/>
      <c r="H21" s="144"/>
      <c r="I21" s="71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3"/>
      <c r="Y21" s="72"/>
      <c r="Z21" s="72"/>
      <c r="AA21" s="72"/>
      <c r="AB21" s="72"/>
      <c r="AC21" s="72"/>
      <c r="AD21" s="72"/>
      <c r="AE21" s="72"/>
      <c r="AF21" s="72"/>
      <c r="AG21" s="72"/>
      <c r="AH21" s="74"/>
      <c r="AI21" s="392"/>
      <c r="AJ21" s="393"/>
      <c r="AK21" s="75"/>
    </row>
    <row r="22" spans="1:37" s="62" customFormat="1" ht="21.95" customHeight="1" x14ac:dyDescent="0.25">
      <c r="A22" s="70" t="str">
        <f t="shared" si="0"/>
        <v/>
      </c>
      <c r="B22" s="402"/>
      <c r="C22" s="402"/>
      <c r="D22" s="402"/>
      <c r="E22" s="402"/>
      <c r="F22" s="148"/>
      <c r="G22" s="141"/>
      <c r="H22" s="144"/>
      <c r="I22" s="71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3"/>
      <c r="Y22" s="72"/>
      <c r="Z22" s="72"/>
      <c r="AA22" s="72"/>
      <c r="AB22" s="72"/>
      <c r="AC22" s="72"/>
      <c r="AD22" s="72"/>
      <c r="AE22" s="72"/>
      <c r="AF22" s="72"/>
      <c r="AG22" s="72"/>
      <c r="AH22" s="74"/>
      <c r="AI22" s="392"/>
      <c r="AJ22" s="393"/>
      <c r="AK22" s="75"/>
    </row>
    <row r="23" spans="1:37" s="62" customFormat="1" ht="21.95" customHeight="1" x14ac:dyDescent="0.25">
      <c r="A23" s="70" t="str">
        <f t="shared" si="0"/>
        <v/>
      </c>
      <c r="B23" s="402"/>
      <c r="C23" s="402"/>
      <c r="D23" s="402"/>
      <c r="E23" s="402"/>
      <c r="F23" s="148"/>
      <c r="G23" s="141"/>
      <c r="H23" s="144"/>
      <c r="I23" s="71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3"/>
      <c r="Y23" s="72"/>
      <c r="Z23" s="72"/>
      <c r="AA23" s="72"/>
      <c r="AB23" s="72"/>
      <c r="AC23" s="72"/>
      <c r="AD23" s="72"/>
      <c r="AE23" s="72"/>
      <c r="AF23" s="72"/>
      <c r="AG23" s="72"/>
      <c r="AH23" s="74"/>
      <c r="AI23" s="392"/>
      <c r="AJ23" s="393"/>
      <c r="AK23" s="75"/>
    </row>
    <row r="24" spans="1:37" s="62" customFormat="1" ht="21.95" customHeight="1" x14ac:dyDescent="0.25">
      <c r="A24" s="70" t="str">
        <f t="shared" si="0"/>
        <v/>
      </c>
      <c r="B24" s="402"/>
      <c r="C24" s="402"/>
      <c r="D24" s="402"/>
      <c r="E24" s="402"/>
      <c r="F24" s="148"/>
      <c r="G24" s="141"/>
      <c r="H24" s="144"/>
      <c r="I24" s="71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3"/>
      <c r="Y24" s="72"/>
      <c r="Z24" s="72"/>
      <c r="AA24" s="72"/>
      <c r="AB24" s="72"/>
      <c r="AC24" s="72"/>
      <c r="AD24" s="72"/>
      <c r="AE24" s="72"/>
      <c r="AF24" s="72"/>
      <c r="AG24" s="72"/>
      <c r="AH24" s="74"/>
      <c r="AI24" s="392"/>
      <c r="AJ24" s="393"/>
      <c r="AK24" s="75"/>
    </row>
    <row r="25" spans="1:37" s="62" customFormat="1" ht="21.95" customHeight="1" x14ac:dyDescent="0.25">
      <c r="A25" s="70" t="str">
        <f t="shared" si="0"/>
        <v/>
      </c>
      <c r="B25" s="402"/>
      <c r="C25" s="402"/>
      <c r="D25" s="402"/>
      <c r="E25" s="402"/>
      <c r="F25" s="148"/>
      <c r="G25" s="141"/>
      <c r="H25" s="144"/>
      <c r="I25" s="71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3"/>
      <c r="Y25" s="72"/>
      <c r="Z25" s="72"/>
      <c r="AA25" s="72"/>
      <c r="AB25" s="72"/>
      <c r="AC25" s="72"/>
      <c r="AD25" s="72"/>
      <c r="AE25" s="72"/>
      <c r="AF25" s="72"/>
      <c r="AG25" s="72"/>
      <c r="AH25" s="74"/>
      <c r="AI25" s="392"/>
      <c r="AJ25" s="393"/>
      <c r="AK25" s="75"/>
    </row>
    <row r="26" spans="1:37" s="62" customFormat="1" ht="21.95" customHeight="1" x14ac:dyDescent="0.25">
      <c r="A26" s="70" t="str">
        <f t="shared" si="0"/>
        <v/>
      </c>
      <c r="B26" s="402"/>
      <c r="C26" s="402"/>
      <c r="D26" s="402"/>
      <c r="E26" s="402"/>
      <c r="F26" s="148"/>
      <c r="G26" s="141"/>
      <c r="H26" s="144"/>
      <c r="I26" s="71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3"/>
      <c r="Y26" s="72"/>
      <c r="Z26" s="72"/>
      <c r="AA26" s="72"/>
      <c r="AB26" s="72"/>
      <c r="AC26" s="72"/>
      <c r="AD26" s="72"/>
      <c r="AE26" s="72"/>
      <c r="AF26" s="72"/>
      <c r="AG26" s="72"/>
      <c r="AH26" s="74"/>
      <c r="AI26" s="392"/>
      <c r="AJ26" s="393"/>
      <c r="AK26" s="75"/>
    </row>
    <row r="27" spans="1:37" s="62" customFormat="1" ht="21.95" customHeight="1" x14ac:dyDescent="0.25">
      <c r="A27" s="70" t="str">
        <f t="shared" si="0"/>
        <v/>
      </c>
      <c r="B27" s="402"/>
      <c r="C27" s="402"/>
      <c r="D27" s="402"/>
      <c r="E27" s="402"/>
      <c r="F27" s="148"/>
      <c r="G27" s="141"/>
      <c r="H27" s="144"/>
      <c r="I27" s="71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3"/>
      <c r="Y27" s="72"/>
      <c r="Z27" s="72"/>
      <c r="AA27" s="72"/>
      <c r="AB27" s="72"/>
      <c r="AC27" s="72"/>
      <c r="AD27" s="72"/>
      <c r="AE27" s="72"/>
      <c r="AF27" s="72"/>
      <c r="AG27" s="72"/>
      <c r="AH27" s="74"/>
      <c r="AI27" s="392"/>
      <c r="AJ27" s="393"/>
      <c r="AK27" s="75"/>
    </row>
    <row r="28" spans="1:37" s="62" customFormat="1" ht="21.95" customHeight="1" x14ac:dyDescent="0.25">
      <c r="A28" s="70" t="str">
        <f t="shared" si="0"/>
        <v/>
      </c>
      <c r="B28" s="402"/>
      <c r="C28" s="402"/>
      <c r="D28" s="402"/>
      <c r="E28" s="402"/>
      <c r="F28" s="148"/>
      <c r="G28" s="141"/>
      <c r="H28" s="144"/>
      <c r="I28" s="71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3"/>
      <c r="Y28" s="72"/>
      <c r="Z28" s="72"/>
      <c r="AA28" s="72"/>
      <c r="AB28" s="72"/>
      <c r="AC28" s="72"/>
      <c r="AD28" s="72"/>
      <c r="AE28" s="72"/>
      <c r="AF28" s="72"/>
      <c r="AG28" s="72"/>
      <c r="AH28" s="74"/>
      <c r="AI28" s="392"/>
      <c r="AJ28" s="393"/>
      <c r="AK28" s="75"/>
    </row>
    <row r="29" spans="1:37" s="62" customFormat="1" ht="21.95" customHeight="1" thickBot="1" x14ac:dyDescent="0.3">
      <c r="A29" s="76" t="str">
        <f>IF(B29&lt;&gt;"",A28+1,"")</f>
        <v/>
      </c>
      <c r="B29" s="411"/>
      <c r="C29" s="411"/>
      <c r="D29" s="411"/>
      <c r="E29" s="411"/>
      <c r="F29" s="149"/>
      <c r="G29" s="145"/>
      <c r="H29" s="146"/>
      <c r="I29" s="77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9"/>
      <c r="Y29" s="78"/>
      <c r="Z29" s="78"/>
      <c r="AA29" s="78"/>
      <c r="AB29" s="78"/>
      <c r="AC29" s="78"/>
      <c r="AD29" s="78"/>
      <c r="AE29" s="78"/>
      <c r="AF29" s="78"/>
      <c r="AG29" s="78"/>
      <c r="AH29" s="80"/>
      <c r="AI29" s="403"/>
      <c r="AJ29" s="404"/>
      <c r="AK29" s="81"/>
    </row>
    <row r="30" spans="1:37" s="89" customFormat="1" ht="36" customHeight="1" x14ac:dyDescent="0.3">
      <c r="A30" s="405" t="s">
        <v>52</v>
      </c>
      <c r="B30" s="406"/>
      <c r="C30" s="406"/>
      <c r="D30" s="406"/>
      <c r="E30" s="406"/>
      <c r="F30" s="406"/>
      <c r="G30" s="406"/>
      <c r="H30" s="407"/>
      <c r="I30" s="82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4"/>
      <c r="Y30" s="83"/>
      <c r="Z30" s="83"/>
      <c r="AA30" s="83"/>
      <c r="AB30" s="83"/>
      <c r="AC30" s="83"/>
      <c r="AD30" s="83"/>
      <c r="AE30" s="83"/>
      <c r="AF30" s="83"/>
      <c r="AG30" s="83"/>
      <c r="AH30" s="85"/>
      <c r="AI30" s="86" t="s">
        <v>53</v>
      </c>
      <c r="AJ30" s="87"/>
      <c r="AK30" s="88"/>
    </row>
    <row r="31" spans="1:37" s="89" customFormat="1" ht="36" customHeight="1" x14ac:dyDescent="0.3">
      <c r="A31" s="408" t="s">
        <v>54</v>
      </c>
      <c r="B31" s="409"/>
      <c r="C31" s="409"/>
      <c r="D31" s="409"/>
      <c r="E31" s="409"/>
      <c r="F31" s="409"/>
      <c r="G31" s="409"/>
      <c r="H31" s="410"/>
      <c r="I31" s="90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2"/>
      <c r="Y31" s="91"/>
      <c r="Z31" s="91"/>
      <c r="AA31" s="91"/>
      <c r="AB31" s="91"/>
      <c r="AC31" s="91"/>
      <c r="AD31" s="91"/>
      <c r="AE31" s="91"/>
      <c r="AF31" s="91"/>
      <c r="AG31" s="91"/>
      <c r="AH31" s="93"/>
      <c r="AI31" s="94" t="s">
        <v>53</v>
      </c>
      <c r="AJ31" s="95"/>
      <c r="AK31" s="75"/>
    </row>
    <row r="32" spans="1:37" s="89" customFormat="1" ht="36" customHeight="1" thickBot="1" x14ac:dyDescent="0.35">
      <c r="A32" s="412" t="s">
        <v>55</v>
      </c>
      <c r="B32" s="413"/>
      <c r="C32" s="413"/>
      <c r="D32" s="413"/>
      <c r="E32" s="413"/>
      <c r="F32" s="413"/>
      <c r="G32" s="413"/>
      <c r="H32" s="414"/>
      <c r="I32" s="96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8"/>
      <c r="Y32" s="97"/>
      <c r="Z32" s="97"/>
      <c r="AA32" s="97"/>
      <c r="AB32" s="97"/>
      <c r="AC32" s="97"/>
      <c r="AD32" s="97"/>
      <c r="AE32" s="97"/>
      <c r="AF32" s="97"/>
      <c r="AG32" s="97"/>
      <c r="AH32" s="99"/>
      <c r="AI32" s="415"/>
      <c r="AJ32" s="416"/>
      <c r="AK32" s="100"/>
    </row>
    <row r="33" spans="1:37" s="62" customFormat="1" ht="9.9499999999999993" customHeight="1" x14ac:dyDescent="0.25">
      <c r="A33" s="417"/>
      <c r="B33" s="418"/>
      <c r="C33" s="418"/>
      <c r="D33" s="418"/>
      <c r="E33" s="419" t="s">
        <v>56</v>
      </c>
      <c r="F33" s="419"/>
      <c r="G33" s="420">
        <v>5</v>
      </c>
      <c r="H33" s="101"/>
      <c r="I33" s="102"/>
      <c r="J33" s="103"/>
      <c r="K33" s="103"/>
      <c r="L33" s="103"/>
      <c r="M33" s="103"/>
      <c r="N33" s="103"/>
      <c r="O33" s="103"/>
      <c r="P33" s="66"/>
      <c r="Q33" s="66"/>
      <c r="R33" s="66"/>
      <c r="S33" s="66"/>
      <c r="T33" s="66"/>
      <c r="U33" s="66"/>
      <c r="V33" s="66"/>
      <c r="W33" s="66"/>
      <c r="X33" s="67"/>
      <c r="Y33" s="66"/>
      <c r="Z33" s="66"/>
      <c r="AA33" s="66"/>
      <c r="AB33" s="66"/>
      <c r="AC33" s="66"/>
      <c r="AD33" s="66"/>
      <c r="AE33" s="66"/>
      <c r="AF33" s="66"/>
      <c r="AG33" s="66"/>
      <c r="AH33" s="68"/>
      <c r="AI33" s="421"/>
      <c r="AJ33" s="422"/>
      <c r="AK33" s="423"/>
    </row>
    <row r="34" spans="1:37" s="62" customFormat="1" ht="9.9499999999999993" customHeight="1" x14ac:dyDescent="0.25">
      <c r="A34" s="417"/>
      <c r="B34" s="418"/>
      <c r="C34" s="418"/>
      <c r="D34" s="418"/>
      <c r="E34" s="419"/>
      <c r="F34" s="419"/>
      <c r="G34" s="420"/>
      <c r="H34" s="150"/>
      <c r="I34" s="105"/>
      <c r="J34" s="106"/>
      <c r="K34" s="106"/>
      <c r="L34" s="106"/>
      <c r="M34" s="106"/>
      <c r="N34" s="106"/>
      <c r="O34" s="106"/>
      <c r="P34" s="72"/>
      <c r="Q34" s="72"/>
      <c r="R34" s="72"/>
      <c r="S34" s="72"/>
      <c r="T34" s="72"/>
      <c r="U34" s="72"/>
      <c r="V34" s="72"/>
      <c r="W34" s="72"/>
      <c r="X34" s="73"/>
      <c r="Y34" s="72"/>
      <c r="Z34" s="72"/>
      <c r="AA34" s="72"/>
      <c r="AB34" s="72"/>
      <c r="AC34" s="72"/>
      <c r="AD34" s="72"/>
      <c r="AE34" s="72"/>
      <c r="AF34" s="72"/>
      <c r="AG34" s="72"/>
      <c r="AH34" s="74"/>
      <c r="AI34" s="424"/>
      <c r="AJ34" s="425"/>
      <c r="AK34" s="426"/>
    </row>
    <row r="35" spans="1:37" s="62" customFormat="1" ht="9.9499999999999993" customHeight="1" x14ac:dyDescent="0.25">
      <c r="A35" s="417"/>
      <c r="B35" s="418"/>
      <c r="C35" s="418"/>
      <c r="D35" s="418"/>
      <c r="E35" s="419"/>
      <c r="F35" s="419"/>
      <c r="G35" s="420">
        <v>4</v>
      </c>
      <c r="H35" s="107"/>
      <c r="I35" s="105"/>
      <c r="J35" s="106"/>
      <c r="K35" s="106"/>
      <c r="L35" s="106"/>
      <c r="M35" s="106"/>
      <c r="N35" s="106"/>
      <c r="O35" s="106"/>
      <c r="P35" s="72"/>
      <c r="Q35" s="72"/>
      <c r="R35" s="72"/>
      <c r="S35" s="72"/>
      <c r="T35" s="72"/>
      <c r="U35" s="72"/>
      <c r="V35" s="72"/>
      <c r="W35" s="72"/>
      <c r="X35" s="73"/>
      <c r="Y35" s="72"/>
      <c r="Z35" s="72"/>
      <c r="AA35" s="72"/>
      <c r="AB35" s="72"/>
      <c r="AC35" s="72"/>
      <c r="AD35" s="72"/>
      <c r="AE35" s="72"/>
      <c r="AF35" s="72"/>
      <c r="AG35" s="72"/>
      <c r="AH35" s="74"/>
      <c r="AI35" s="424"/>
      <c r="AJ35" s="425"/>
      <c r="AK35" s="426"/>
    </row>
    <row r="36" spans="1:37" s="62" customFormat="1" ht="9.9499999999999993" customHeight="1" x14ac:dyDescent="0.25">
      <c r="A36" s="417"/>
      <c r="B36" s="418"/>
      <c r="C36" s="418"/>
      <c r="D36" s="418"/>
      <c r="E36" s="419"/>
      <c r="F36" s="419"/>
      <c r="G36" s="420"/>
      <c r="H36" s="150"/>
      <c r="I36" s="105"/>
      <c r="J36" s="106"/>
      <c r="K36" s="106"/>
      <c r="L36" s="106"/>
      <c r="M36" s="106"/>
      <c r="N36" s="106"/>
      <c r="O36" s="106"/>
      <c r="P36" s="72"/>
      <c r="Q36" s="72"/>
      <c r="R36" s="72"/>
      <c r="S36" s="72"/>
      <c r="T36" s="72"/>
      <c r="U36" s="72"/>
      <c r="V36" s="72"/>
      <c r="W36" s="72"/>
      <c r="X36" s="73"/>
      <c r="Y36" s="72"/>
      <c r="Z36" s="72"/>
      <c r="AA36" s="72"/>
      <c r="AB36" s="72"/>
      <c r="AC36" s="72"/>
      <c r="AD36" s="72"/>
      <c r="AE36" s="72"/>
      <c r="AF36" s="72"/>
      <c r="AG36" s="72"/>
      <c r="AH36" s="74"/>
      <c r="AI36" s="424"/>
      <c r="AJ36" s="425"/>
      <c r="AK36" s="426"/>
    </row>
    <row r="37" spans="1:37" s="62" customFormat="1" ht="9.9499999999999993" customHeight="1" x14ac:dyDescent="0.25">
      <c r="A37" s="417"/>
      <c r="B37" s="418"/>
      <c r="C37" s="418"/>
      <c r="D37" s="418"/>
      <c r="E37" s="430" t="s">
        <v>57</v>
      </c>
      <c r="F37" s="430"/>
      <c r="G37" s="420">
        <v>3</v>
      </c>
      <c r="H37" s="107"/>
      <c r="I37" s="105"/>
      <c r="J37" s="106"/>
      <c r="K37" s="106"/>
      <c r="L37" s="106"/>
      <c r="M37" s="106"/>
      <c r="N37" s="106"/>
      <c r="O37" s="106"/>
      <c r="P37" s="72"/>
      <c r="Q37" s="72"/>
      <c r="R37" s="72"/>
      <c r="S37" s="72"/>
      <c r="T37" s="72"/>
      <c r="U37" s="72"/>
      <c r="V37" s="72"/>
      <c r="W37" s="72"/>
      <c r="X37" s="73"/>
      <c r="Y37" s="72"/>
      <c r="Z37" s="72"/>
      <c r="AA37" s="72"/>
      <c r="AB37" s="72"/>
      <c r="AC37" s="72"/>
      <c r="AD37" s="72"/>
      <c r="AE37" s="72"/>
      <c r="AF37" s="72"/>
      <c r="AG37" s="72"/>
      <c r="AH37" s="74"/>
      <c r="AI37" s="424"/>
      <c r="AJ37" s="425"/>
      <c r="AK37" s="426"/>
    </row>
    <row r="38" spans="1:37" s="62" customFormat="1" ht="9.9499999999999993" customHeight="1" x14ac:dyDescent="0.25">
      <c r="A38" s="417"/>
      <c r="B38" s="418"/>
      <c r="C38" s="418"/>
      <c r="D38" s="418"/>
      <c r="E38" s="430"/>
      <c r="F38" s="430"/>
      <c r="G38" s="420"/>
      <c r="H38" s="150"/>
      <c r="I38" s="105"/>
      <c r="J38" s="106"/>
      <c r="K38" s="106"/>
      <c r="L38" s="106"/>
      <c r="M38" s="106"/>
      <c r="N38" s="106"/>
      <c r="O38" s="106"/>
      <c r="P38" s="72"/>
      <c r="Q38" s="72"/>
      <c r="R38" s="72"/>
      <c r="S38" s="72"/>
      <c r="T38" s="72"/>
      <c r="U38" s="72"/>
      <c r="V38" s="72"/>
      <c r="W38" s="72"/>
      <c r="X38" s="73"/>
      <c r="Y38" s="72"/>
      <c r="Z38" s="72"/>
      <c r="AA38" s="72"/>
      <c r="AB38" s="72"/>
      <c r="AC38" s="72"/>
      <c r="AD38" s="72"/>
      <c r="AE38" s="72"/>
      <c r="AF38" s="72"/>
      <c r="AG38" s="72"/>
      <c r="AH38" s="74"/>
      <c r="AI38" s="424"/>
      <c r="AJ38" s="425"/>
      <c r="AK38" s="426"/>
    </row>
    <row r="39" spans="1:37" s="62" customFormat="1" ht="9.9499999999999993" customHeight="1" thickBot="1" x14ac:dyDescent="0.3">
      <c r="A39" s="417"/>
      <c r="B39" s="418"/>
      <c r="C39" s="418"/>
      <c r="D39" s="418"/>
      <c r="E39" s="430"/>
      <c r="F39" s="430"/>
      <c r="G39" s="420">
        <v>2</v>
      </c>
      <c r="H39" s="107"/>
      <c r="I39" s="105"/>
      <c r="J39" s="106"/>
      <c r="K39" s="106"/>
      <c r="L39" s="106"/>
      <c r="M39" s="106"/>
      <c r="N39" s="106"/>
      <c r="O39" s="106"/>
      <c r="P39" s="72"/>
      <c r="Q39" s="72"/>
      <c r="R39" s="72"/>
      <c r="S39" s="72"/>
      <c r="T39" s="72"/>
      <c r="U39" s="72"/>
      <c r="V39" s="72"/>
      <c r="W39" s="72"/>
      <c r="X39" s="73"/>
      <c r="Y39" s="72"/>
      <c r="Z39" s="72"/>
      <c r="AA39" s="72"/>
      <c r="AB39" s="72"/>
      <c r="AC39" s="72"/>
      <c r="AD39" s="72"/>
      <c r="AE39" s="72"/>
      <c r="AF39" s="72"/>
      <c r="AG39" s="72"/>
      <c r="AH39" s="74"/>
      <c r="AI39" s="427"/>
      <c r="AJ39" s="428"/>
      <c r="AK39" s="429"/>
    </row>
    <row r="40" spans="1:37" s="62" customFormat="1" ht="9.9499999999999993" customHeight="1" x14ac:dyDescent="0.25">
      <c r="A40" s="451" t="s">
        <v>58</v>
      </c>
      <c r="B40" s="453"/>
      <c r="C40" s="454"/>
      <c r="D40" s="455"/>
      <c r="E40" s="430"/>
      <c r="F40" s="430"/>
      <c r="G40" s="420"/>
      <c r="H40" s="150"/>
      <c r="I40" s="105"/>
      <c r="J40" s="106"/>
      <c r="K40" s="106"/>
      <c r="L40" s="106"/>
      <c r="M40" s="106"/>
      <c r="N40" s="106"/>
      <c r="O40" s="106"/>
      <c r="P40" s="72"/>
      <c r="Q40" s="72"/>
      <c r="R40" s="72"/>
      <c r="S40" s="72"/>
      <c r="T40" s="72"/>
      <c r="U40" s="72"/>
      <c r="V40" s="72"/>
      <c r="W40" s="72"/>
      <c r="X40" s="73"/>
      <c r="Y40" s="72"/>
      <c r="Z40" s="72"/>
      <c r="AA40" s="72"/>
      <c r="AB40" s="72"/>
      <c r="AC40" s="72"/>
      <c r="AD40" s="72"/>
      <c r="AE40" s="72"/>
      <c r="AF40" s="72"/>
      <c r="AG40" s="72"/>
      <c r="AH40" s="74"/>
      <c r="AI40" s="452" t="s">
        <v>59</v>
      </c>
      <c r="AJ40" s="459"/>
      <c r="AK40" s="431"/>
    </row>
    <row r="41" spans="1:37" s="62" customFormat="1" ht="9.9499999999999993" customHeight="1" x14ac:dyDescent="0.25">
      <c r="A41" s="452"/>
      <c r="B41" s="456"/>
      <c r="C41" s="457"/>
      <c r="D41" s="458"/>
      <c r="E41" s="430"/>
      <c r="F41" s="430"/>
      <c r="G41" s="420">
        <v>1</v>
      </c>
      <c r="H41" s="107"/>
      <c r="I41" s="105"/>
      <c r="J41" s="106"/>
      <c r="K41" s="106"/>
      <c r="L41" s="106"/>
      <c r="M41" s="106"/>
      <c r="N41" s="106"/>
      <c r="O41" s="106"/>
      <c r="P41" s="72"/>
      <c r="Q41" s="72"/>
      <c r="R41" s="72"/>
      <c r="S41" s="72"/>
      <c r="T41" s="72"/>
      <c r="U41" s="72"/>
      <c r="V41" s="72"/>
      <c r="W41" s="72"/>
      <c r="X41" s="73"/>
      <c r="Y41" s="72"/>
      <c r="Z41" s="72"/>
      <c r="AA41" s="72"/>
      <c r="AB41" s="72"/>
      <c r="AC41" s="72"/>
      <c r="AD41" s="72"/>
      <c r="AE41" s="72"/>
      <c r="AF41" s="72"/>
      <c r="AG41" s="72"/>
      <c r="AH41" s="74"/>
      <c r="AI41" s="452"/>
      <c r="AJ41" s="459"/>
      <c r="AK41" s="431"/>
    </row>
    <row r="42" spans="1:37" s="62" customFormat="1" ht="9.9499999999999993" customHeight="1" x14ac:dyDescent="0.25">
      <c r="A42" s="452"/>
      <c r="B42" s="456"/>
      <c r="C42" s="457"/>
      <c r="D42" s="458"/>
      <c r="E42" s="418"/>
      <c r="F42" s="418"/>
      <c r="G42" s="420"/>
      <c r="H42" s="150"/>
      <c r="I42" s="105"/>
      <c r="J42" s="106"/>
      <c r="K42" s="106"/>
      <c r="L42" s="106"/>
      <c r="M42" s="106"/>
      <c r="N42" s="106"/>
      <c r="O42" s="106"/>
      <c r="P42" s="72"/>
      <c r="Q42" s="72"/>
      <c r="R42" s="72"/>
      <c r="S42" s="72"/>
      <c r="T42" s="72"/>
      <c r="U42" s="72"/>
      <c r="V42" s="72"/>
      <c r="W42" s="72"/>
      <c r="X42" s="73"/>
      <c r="Y42" s="72"/>
      <c r="Z42" s="72"/>
      <c r="AA42" s="72"/>
      <c r="AB42" s="72"/>
      <c r="AC42" s="72"/>
      <c r="AD42" s="72"/>
      <c r="AE42" s="72"/>
      <c r="AF42" s="72"/>
      <c r="AG42" s="72"/>
      <c r="AH42" s="74"/>
      <c r="AI42" s="452"/>
      <c r="AJ42" s="459"/>
      <c r="AK42" s="431"/>
    </row>
    <row r="43" spans="1:37" s="62" customFormat="1" ht="9.9499999999999993" customHeight="1" x14ac:dyDescent="0.25">
      <c r="A43" s="452" t="s">
        <v>60</v>
      </c>
      <c r="B43" s="456"/>
      <c r="C43" s="457"/>
      <c r="D43" s="458"/>
      <c r="E43" s="418"/>
      <c r="F43" s="418"/>
      <c r="G43" s="420">
        <v>0</v>
      </c>
      <c r="H43" s="107"/>
      <c r="I43" s="105"/>
      <c r="J43" s="106"/>
      <c r="K43" s="106"/>
      <c r="L43" s="106"/>
      <c r="M43" s="106"/>
      <c r="N43" s="106"/>
      <c r="O43" s="106"/>
      <c r="P43" s="72"/>
      <c r="Q43" s="72"/>
      <c r="R43" s="72"/>
      <c r="S43" s="72"/>
      <c r="T43" s="72"/>
      <c r="U43" s="72"/>
      <c r="V43" s="72"/>
      <c r="W43" s="72"/>
      <c r="X43" s="73"/>
      <c r="Y43" s="72"/>
      <c r="Z43" s="72"/>
      <c r="AA43" s="72"/>
      <c r="AB43" s="72"/>
      <c r="AC43" s="72"/>
      <c r="AD43" s="72"/>
      <c r="AE43" s="72"/>
      <c r="AF43" s="72"/>
      <c r="AG43" s="72"/>
      <c r="AH43" s="74"/>
      <c r="AI43" s="452" t="s">
        <v>61</v>
      </c>
      <c r="AJ43" s="459"/>
      <c r="AK43" s="431"/>
    </row>
    <row r="44" spans="1:37" s="62" customFormat="1" ht="9.9499999999999993" customHeight="1" x14ac:dyDescent="0.25">
      <c r="A44" s="452"/>
      <c r="B44" s="456"/>
      <c r="C44" s="457"/>
      <c r="D44" s="458"/>
      <c r="E44" s="418"/>
      <c r="F44" s="418"/>
      <c r="G44" s="420"/>
      <c r="H44" s="150"/>
      <c r="I44" s="105"/>
      <c r="J44" s="106"/>
      <c r="K44" s="106"/>
      <c r="L44" s="106"/>
      <c r="M44" s="106"/>
      <c r="N44" s="106"/>
      <c r="O44" s="106"/>
      <c r="P44" s="72"/>
      <c r="Q44" s="72"/>
      <c r="R44" s="72"/>
      <c r="S44" s="72"/>
      <c r="T44" s="72"/>
      <c r="U44" s="72"/>
      <c r="V44" s="72"/>
      <c r="W44" s="72"/>
      <c r="X44" s="73"/>
      <c r="Y44" s="72"/>
      <c r="Z44" s="72"/>
      <c r="AA44" s="72"/>
      <c r="AB44" s="72"/>
      <c r="AC44" s="72"/>
      <c r="AD44" s="72"/>
      <c r="AE44" s="72"/>
      <c r="AF44" s="72"/>
      <c r="AG44" s="72"/>
      <c r="AH44" s="74"/>
      <c r="AI44" s="452"/>
      <c r="AJ44" s="459"/>
      <c r="AK44" s="431"/>
    </row>
    <row r="45" spans="1:37" s="62" customFormat="1" ht="9.9499999999999993" customHeight="1" thickBot="1" x14ac:dyDescent="0.3">
      <c r="A45" s="460"/>
      <c r="B45" s="461"/>
      <c r="C45" s="462"/>
      <c r="D45" s="463"/>
      <c r="E45" s="418"/>
      <c r="F45" s="418"/>
      <c r="G45" s="108"/>
      <c r="H45" s="150"/>
      <c r="I45" s="109"/>
      <c r="J45" s="110"/>
      <c r="K45" s="110"/>
      <c r="L45" s="110"/>
      <c r="M45" s="110"/>
      <c r="N45" s="110"/>
      <c r="O45" s="110"/>
      <c r="P45" s="111"/>
      <c r="Q45" s="111"/>
      <c r="R45" s="111"/>
      <c r="S45" s="111"/>
      <c r="T45" s="111"/>
      <c r="U45" s="111"/>
      <c r="V45" s="111"/>
      <c r="W45" s="111"/>
      <c r="X45" s="112"/>
      <c r="Y45" s="111"/>
      <c r="Z45" s="111"/>
      <c r="AA45" s="111"/>
      <c r="AB45" s="111"/>
      <c r="AC45" s="111"/>
      <c r="AD45" s="111"/>
      <c r="AE45" s="111"/>
      <c r="AF45" s="111"/>
      <c r="AG45" s="111"/>
      <c r="AH45" s="113"/>
      <c r="AI45" s="452"/>
      <c r="AJ45" s="459"/>
      <c r="AK45" s="431"/>
    </row>
    <row r="46" spans="1:37" s="51" customFormat="1" ht="39.950000000000003" customHeight="1" x14ac:dyDescent="0.25">
      <c r="A46" s="432" t="s">
        <v>62</v>
      </c>
      <c r="B46" s="433"/>
      <c r="C46" s="433"/>
      <c r="D46" s="433"/>
      <c r="E46" s="433"/>
      <c r="F46" s="433"/>
      <c r="G46" s="433"/>
      <c r="H46" s="434"/>
      <c r="I46" s="114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6"/>
      <c r="Y46" s="115"/>
      <c r="Z46" s="115"/>
      <c r="AA46" s="115"/>
      <c r="AB46" s="115"/>
      <c r="AC46" s="115"/>
      <c r="AD46" s="115"/>
      <c r="AE46" s="115"/>
      <c r="AF46" s="115"/>
      <c r="AG46" s="115"/>
      <c r="AH46" s="117"/>
      <c r="AI46" s="435"/>
      <c r="AJ46" s="436"/>
      <c r="AK46" s="437"/>
    </row>
    <row r="47" spans="1:37" s="51" customFormat="1" ht="39.950000000000003" customHeight="1" x14ac:dyDescent="0.25">
      <c r="A47" s="444" t="s">
        <v>63</v>
      </c>
      <c r="B47" s="445"/>
      <c r="C47" s="445"/>
      <c r="D47" s="445"/>
      <c r="E47" s="445"/>
      <c r="F47" s="445"/>
      <c r="G47" s="445"/>
      <c r="H47" s="446"/>
      <c r="I47" s="118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20"/>
      <c r="Y47" s="119"/>
      <c r="Z47" s="119"/>
      <c r="AA47" s="119"/>
      <c r="AB47" s="119"/>
      <c r="AC47" s="119"/>
      <c r="AD47" s="119"/>
      <c r="AE47" s="119"/>
      <c r="AF47" s="119"/>
      <c r="AG47" s="119"/>
      <c r="AH47" s="121"/>
      <c r="AI47" s="438"/>
      <c r="AJ47" s="439"/>
      <c r="AK47" s="440"/>
    </row>
    <row r="48" spans="1:37" s="51" customFormat="1" ht="39.950000000000003" customHeight="1" thickBot="1" x14ac:dyDescent="0.3">
      <c r="A48" s="447" t="s">
        <v>64</v>
      </c>
      <c r="B48" s="448"/>
      <c r="C48" s="448"/>
      <c r="D48" s="448"/>
      <c r="E48" s="448"/>
      <c r="F48" s="448"/>
      <c r="G48" s="448"/>
      <c r="H48" s="449"/>
      <c r="I48" s="122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4"/>
      <c r="Y48" s="123"/>
      <c r="Z48" s="123"/>
      <c r="AA48" s="123"/>
      <c r="AB48" s="123"/>
      <c r="AC48" s="123"/>
      <c r="AD48" s="123"/>
      <c r="AE48" s="123"/>
      <c r="AF48" s="123"/>
      <c r="AG48" s="123"/>
      <c r="AH48" s="125"/>
      <c r="AI48" s="441"/>
      <c r="AJ48" s="442"/>
      <c r="AK48" s="443"/>
    </row>
    <row r="49" spans="1:37" ht="15.75" thickBot="1" x14ac:dyDescent="0.3">
      <c r="W49" s="126"/>
      <c r="AF49" s="450"/>
      <c r="AG49" s="450"/>
      <c r="AH49" s="450"/>
      <c r="AI49" s="151"/>
      <c r="AJ49" s="152"/>
      <c r="AK49" t="s">
        <v>96</v>
      </c>
    </row>
    <row r="50" spans="1:37" s="130" customFormat="1" ht="39.950000000000003" customHeight="1" thickBot="1" x14ac:dyDescent="0.4">
      <c r="A50" s="574" t="s">
        <v>65</v>
      </c>
      <c r="B50" s="575"/>
      <c r="C50" s="157" t="s">
        <v>66</v>
      </c>
      <c r="D50" s="158" t="s">
        <v>67</v>
      </c>
      <c r="E50" s="575" t="s">
        <v>68</v>
      </c>
      <c r="F50" s="575"/>
      <c r="G50" s="575" t="s">
        <v>69</v>
      </c>
      <c r="H50" s="575"/>
      <c r="I50" s="575"/>
      <c r="J50" s="575"/>
      <c r="K50" s="575"/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X50" s="575"/>
      <c r="Y50" s="575"/>
      <c r="Z50" s="575"/>
      <c r="AA50" s="575"/>
      <c r="AB50" s="575"/>
      <c r="AC50" s="575"/>
      <c r="AD50" s="575"/>
      <c r="AE50" s="575"/>
      <c r="AF50" s="575"/>
      <c r="AG50" s="575"/>
      <c r="AH50" s="575"/>
      <c r="AI50" s="575"/>
      <c r="AJ50" s="575"/>
      <c r="AK50" s="576"/>
    </row>
    <row r="51" spans="1:37" s="62" customFormat="1" ht="33" customHeight="1" x14ac:dyDescent="0.25">
      <c r="A51" s="548"/>
      <c r="B51" s="391"/>
      <c r="C51" s="156"/>
      <c r="D51" s="156"/>
      <c r="E51" s="391"/>
      <c r="F51" s="391"/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  <c r="R51" s="577"/>
      <c r="S51" s="577"/>
      <c r="T51" s="577"/>
      <c r="U51" s="577"/>
      <c r="V51" s="577"/>
      <c r="W51" s="577"/>
      <c r="X51" s="577"/>
      <c r="Y51" s="577"/>
      <c r="Z51" s="577"/>
      <c r="AA51" s="577"/>
      <c r="AB51" s="577"/>
      <c r="AC51" s="577"/>
      <c r="AD51" s="577"/>
      <c r="AE51" s="577"/>
      <c r="AF51" s="577"/>
      <c r="AG51" s="577"/>
      <c r="AH51" s="577"/>
      <c r="AI51" s="577"/>
      <c r="AJ51" s="577"/>
      <c r="AK51" s="578"/>
    </row>
    <row r="52" spans="1:37" s="62" customFormat="1" ht="33" customHeight="1" x14ac:dyDescent="0.25">
      <c r="A52" s="464"/>
      <c r="B52" s="393"/>
      <c r="C52" s="155"/>
      <c r="D52" s="155"/>
      <c r="E52" s="393"/>
      <c r="F52" s="393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465"/>
      <c r="Y52" s="465"/>
      <c r="Z52" s="465"/>
      <c r="AA52" s="465"/>
      <c r="AB52" s="465"/>
      <c r="AC52" s="465"/>
      <c r="AD52" s="465"/>
      <c r="AE52" s="465"/>
      <c r="AF52" s="465"/>
      <c r="AG52" s="465"/>
      <c r="AH52" s="465"/>
      <c r="AI52" s="465"/>
      <c r="AJ52" s="465"/>
      <c r="AK52" s="466"/>
    </row>
    <row r="53" spans="1:37" s="62" customFormat="1" ht="33" customHeight="1" x14ac:dyDescent="0.25">
      <c r="A53" s="464"/>
      <c r="B53" s="393"/>
      <c r="C53" s="155"/>
      <c r="D53" s="155"/>
      <c r="E53" s="393"/>
      <c r="F53" s="393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465"/>
      <c r="Y53" s="465"/>
      <c r="Z53" s="465"/>
      <c r="AA53" s="465"/>
      <c r="AB53" s="465"/>
      <c r="AC53" s="465"/>
      <c r="AD53" s="465"/>
      <c r="AE53" s="465"/>
      <c r="AF53" s="465"/>
      <c r="AG53" s="465"/>
      <c r="AH53" s="465"/>
      <c r="AI53" s="465"/>
      <c r="AJ53" s="465"/>
      <c r="AK53" s="466"/>
    </row>
    <row r="54" spans="1:37" s="62" customFormat="1" ht="33" customHeight="1" x14ac:dyDescent="0.25">
      <c r="A54" s="464"/>
      <c r="B54" s="393"/>
      <c r="C54" s="155"/>
      <c r="D54" s="155"/>
      <c r="E54" s="393"/>
      <c r="F54" s="393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5"/>
      <c r="X54" s="465"/>
      <c r="Y54" s="465"/>
      <c r="Z54" s="465"/>
      <c r="AA54" s="465"/>
      <c r="AB54" s="465"/>
      <c r="AC54" s="465"/>
      <c r="AD54" s="465"/>
      <c r="AE54" s="465"/>
      <c r="AF54" s="465"/>
      <c r="AG54" s="465"/>
      <c r="AH54" s="465"/>
      <c r="AI54" s="465"/>
      <c r="AJ54" s="465"/>
      <c r="AK54" s="466"/>
    </row>
    <row r="55" spans="1:37" s="62" customFormat="1" ht="33" customHeight="1" x14ac:dyDescent="0.25">
      <c r="A55" s="464"/>
      <c r="B55" s="393"/>
      <c r="C55" s="155"/>
      <c r="D55" s="155"/>
      <c r="E55" s="393"/>
      <c r="F55" s="393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5"/>
      <c r="V55" s="465"/>
      <c r="W55" s="465"/>
      <c r="X55" s="465"/>
      <c r="Y55" s="465"/>
      <c r="Z55" s="465"/>
      <c r="AA55" s="465"/>
      <c r="AB55" s="465"/>
      <c r="AC55" s="465"/>
      <c r="AD55" s="465"/>
      <c r="AE55" s="465"/>
      <c r="AF55" s="465"/>
      <c r="AG55" s="465"/>
      <c r="AH55" s="465"/>
      <c r="AI55" s="465"/>
      <c r="AJ55" s="465"/>
      <c r="AK55" s="466"/>
    </row>
    <row r="56" spans="1:37" s="62" customFormat="1" ht="33" customHeight="1" x14ac:dyDescent="0.25">
      <c r="A56" s="464"/>
      <c r="B56" s="393"/>
      <c r="C56" s="155"/>
      <c r="D56" s="155"/>
      <c r="E56" s="393"/>
      <c r="F56" s="393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5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6"/>
    </row>
    <row r="57" spans="1:37" s="62" customFormat="1" ht="33" customHeight="1" x14ac:dyDescent="0.25">
      <c r="A57" s="464"/>
      <c r="B57" s="393"/>
      <c r="C57" s="155"/>
      <c r="D57" s="155"/>
      <c r="E57" s="393"/>
      <c r="F57" s="393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  <c r="AC57" s="465"/>
      <c r="AD57" s="465"/>
      <c r="AE57" s="465"/>
      <c r="AF57" s="465"/>
      <c r="AG57" s="465"/>
      <c r="AH57" s="465"/>
      <c r="AI57" s="465"/>
      <c r="AJ57" s="465"/>
      <c r="AK57" s="466"/>
    </row>
    <row r="58" spans="1:37" s="62" customFormat="1" ht="33" customHeight="1" x14ac:dyDescent="0.25">
      <c r="A58" s="464"/>
      <c r="B58" s="393"/>
      <c r="C58" s="155"/>
      <c r="D58" s="155"/>
      <c r="E58" s="393"/>
      <c r="F58" s="393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5"/>
      <c r="V58" s="465"/>
      <c r="W58" s="465"/>
      <c r="X58" s="465"/>
      <c r="Y58" s="465"/>
      <c r="Z58" s="465"/>
      <c r="AA58" s="465"/>
      <c r="AB58" s="465"/>
      <c r="AC58" s="465"/>
      <c r="AD58" s="465"/>
      <c r="AE58" s="465"/>
      <c r="AF58" s="465"/>
      <c r="AG58" s="465"/>
      <c r="AH58" s="465"/>
      <c r="AI58" s="465"/>
      <c r="AJ58" s="465"/>
      <c r="AK58" s="466"/>
    </row>
    <row r="59" spans="1:37" s="62" customFormat="1" ht="33" customHeight="1" x14ac:dyDescent="0.25">
      <c r="A59" s="464"/>
      <c r="B59" s="393"/>
      <c r="C59" s="155"/>
      <c r="D59" s="155"/>
      <c r="E59" s="393"/>
      <c r="F59" s="393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5"/>
      <c r="V59" s="465"/>
      <c r="W59" s="465"/>
      <c r="X59" s="465"/>
      <c r="Y59" s="465"/>
      <c r="Z59" s="465"/>
      <c r="AA59" s="465"/>
      <c r="AB59" s="465"/>
      <c r="AC59" s="465"/>
      <c r="AD59" s="465"/>
      <c r="AE59" s="465"/>
      <c r="AF59" s="465"/>
      <c r="AG59" s="465"/>
      <c r="AH59" s="465"/>
      <c r="AI59" s="465"/>
      <c r="AJ59" s="465"/>
      <c r="AK59" s="466"/>
    </row>
    <row r="60" spans="1:37" s="62" customFormat="1" ht="33" customHeight="1" x14ac:dyDescent="0.25">
      <c r="A60" s="464"/>
      <c r="B60" s="393"/>
      <c r="C60" s="155"/>
      <c r="D60" s="155"/>
      <c r="E60" s="393"/>
      <c r="F60" s="393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5"/>
      <c r="V60" s="465"/>
      <c r="W60" s="465"/>
      <c r="X60" s="465"/>
      <c r="Y60" s="465"/>
      <c r="Z60" s="465"/>
      <c r="AA60" s="465"/>
      <c r="AB60" s="465"/>
      <c r="AC60" s="465"/>
      <c r="AD60" s="465"/>
      <c r="AE60" s="465"/>
      <c r="AF60" s="465"/>
      <c r="AG60" s="465"/>
      <c r="AH60" s="465"/>
      <c r="AI60" s="465"/>
      <c r="AJ60" s="465"/>
      <c r="AK60" s="466"/>
    </row>
    <row r="61" spans="1:37" s="62" customFormat="1" ht="33" customHeight="1" x14ac:dyDescent="0.25">
      <c r="A61" s="464"/>
      <c r="B61" s="393"/>
      <c r="C61" s="155"/>
      <c r="D61" s="155"/>
      <c r="E61" s="393"/>
      <c r="F61" s="393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5"/>
      <c r="V61" s="465"/>
      <c r="W61" s="465"/>
      <c r="X61" s="465"/>
      <c r="Y61" s="465"/>
      <c r="Z61" s="465"/>
      <c r="AA61" s="465"/>
      <c r="AB61" s="465"/>
      <c r="AC61" s="465"/>
      <c r="AD61" s="465"/>
      <c r="AE61" s="465"/>
      <c r="AF61" s="465"/>
      <c r="AG61" s="465"/>
      <c r="AH61" s="465"/>
      <c r="AI61" s="465"/>
      <c r="AJ61" s="465"/>
      <c r="AK61" s="466"/>
    </row>
    <row r="62" spans="1:37" s="62" customFormat="1" ht="33" customHeight="1" x14ac:dyDescent="0.25">
      <c r="A62" s="464"/>
      <c r="B62" s="393"/>
      <c r="C62" s="155"/>
      <c r="D62" s="155"/>
      <c r="E62" s="393"/>
      <c r="F62" s="393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5"/>
      <c r="X62" s="465"/>
      <c r="Y62" s="465"/>
      <c r="Z62" s="465"/>
      <c r="AA62" s="465"/>
      <c r="AB62" s="465"/>
      <c r="AC62" s="465"/>
      <c r="AD62" s="465"/>
      <c r="AE62" s="465"/>
      <c r="AF62" s="465"/>
      <c r="AG62" s="465"/>
      <c r="AH62" s="465"/>
      <c r="AI62" s="465"/>
      <c r="AJ62" s="465"/>
      <c r="AK62" s="466"/>
    </row>
    <row r="63" spans="1:37" s="62" customFormat="1" ht="33" customHeight="1" x14ac:dyDescent="0.25">
      <c r="A63" s="464"/>
      <c r="B63" s="393"/>
      <c r="C63" s="155"/>
      <c r="D63" s="155"/>
      <c r="E63" s="393"/>
      <c r="F63" s="393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5"/>
      <c r="V63" s="465"/>
      <c r="W63" s="465"/>
      <c r="X63" s="465"/>
      <c r="Y63" s="465"/>
      <c r="Z63" s="465"/>
      <c r="AA63" s="465"/>
      <c r="AB63" s="465"/>
      <c r="AC63" s="465"/>
      <c r="AD63" s="465"/>
      <c r="AE63" s="465"/>
      <c r="AF63" s="465"/>
      <c r="AG63" s="465"/>
      <c r="AH63" s="465"/>
      <c r="AI63" s="465"/>
      <c r="AJ63" s="465"/>
      <c r="AK63" s="466"/>
    </row>
    <row r="64" spans="1:37" s="62" customFormat="1" ht="33" customHeight="1" x14ac:dyDescent="0.25">
      <c r="A64" s="464"/>
      <c r="B64" s="393"/>
      <c r="C64" s="155"/>
      <c r="D64" s="155"/>
      <c r="E64" s="393"/>
      <c r="F64" s="393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5"/>
      <c r="V64" s="465"/>
      <c r="W64" s="465"/>
      <c r="X64" s="465"/>
      <c r="Y64" s="465"/>
      <c r="Z64" s="465"/>
      <c r="AA64" s="465"/>
      <c r="AB64" s="465"/>
      <c r="AC64" s="465"/>
      <c r="AD64" s="465"/>
      <c r="AE64" s="465"/>
      <c r="AF64" s="465"/>
      <c r="AG64" s="465"/>
      <c r="AH64" s="465"/>
      <c r="AI64" s="465"/>
      <c r="AJ64" s="465"/>
      <c r="AK64" s="466"/>
    </row>
    <row r="65" spans="1:37" s="62" customFormat="1" ht="33" customHeight="1" thickBot="1" x14ac:dyDescent="0.3">
      <c r="A65" s="469"/>
      <c r="B65" s="404"/>
      <c r="C65" s="154"/>
      <c r="D65" s="154"/>
      <c r="E65" s="404"/>
      <c r="F65" s="404"/>
      <c r="G65" s="470"/>
      <c r="H65" s="470"/>
      <c r="I65" s="470"/>
      <c r="J65" s="470"/>
      <c r="K65" s="470"/>
      <c r="L65" s="470"/>
      <c r="M65" s="470"/>
      <c r="N65" s="470"/>
      <c r="O65" s="470"/>
      <c r="P65" s="470"/>
      <c r="Q65" s="470"/>
      <c r="R65" s="470"/>
      <c r="S65" s="470"/>
      <c r="T65" s="470"/>
      <c r="U65" s="470"/>
      <c r="V65" s="470"/>
      <c r="W65" s="470"/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470"/>
      <c r="AK65" s="471"/>
    </row>
    <row r="66" spans="1:37" s="62" customFormat="1" ht="33" customHeight="1" x14ac:dyDescent="0.25">
      <c r="A66" s="161"/>
      <c r="B66" s="160"/>
      <c r="C66" s="160"/>
      <c r="D66" s="160"/>
      <c r="E66" s="160"/>
      <c r="F66" s="160"/>
      <c r="G66" s="581" t="s">
        <v>86</v>
      </c>
      <c r="H66" s="581"/>
      <c r="I66" s="581"/>
      <c r="J66" s="581"/>
      <c r="K66" s="581"/>
      <c r="L66" s="581"/>
      <c r="M66" s="581"/>
      <c r="N66" s="581"/>
      <c r="O66" s="581"/>
      <c r="P66" s="581"/>
      <c r="Q66" s="581"/>
      <c r="R66" s="581"/>
      <c r="S66" s="581"/>
      <c r="T66" s="581"/>
      <c r="U66" s="581"/>
      <c r="V66" s="581"/>
      <c r="W66" s="581"/>
      <c r="X66" s="581"/>
      <c r="Y66" s="581"/>
      <c r="Z66" s="581"/>
      <c r="AA66" s="581"/>
      <c r="AB66" s="581"/>
      <c r="AC66" s="581"/>
      <c r="AD66" s="581"/>
      <c r="AE66" s="581"/>
      <c r="AF66" s="581"/>
      <c r="AG66" s="581"/>
      <c r="AH66" s="581"/>
      <c r="AI66" s="162"/>
      <c r="AJ66" s="160"/>
      <c r="AK66" s="160"/>
    </row>
    <row r="67" spans="1:37" s="62" customFormat="1" ht="33" customHeight="1" x14ac:dyDescent="0.25">
      <c r="B67" s="159"/>
      <c r="C67" s="159"/>
      <c r="D67" s="159"/>
      <c r="E67" s="159"/>
      <c r="F67" s="159"/>
      <c r="G67" s="572" t="s">
        <v>95</v>
      </c>
      <c r="H67" s="572"/>
      <c r="I67" s="572"/>
      <c r="J67" s="572"/>
      <c r="K67" s="572"/>
      <c r="L67" s="572"/>
      <c r="M67" s="572"/>
      <c r="N67" s="572"/>
      <c r="O67" s="572"/>
      <c r="P67" s="572"/>
      <c r="Q67" s="572"/>
      <c r="R67" s="572"/>
      <c r="S67" s="159"/>
      <c r="T67" s="159"/>
      <c r="U67" s="159"/>
      <c r="V67" s="159"/>
      <c r="W67" s="582" t="s">
        <v>87</v>
      </c>
      <c r="X67" s="582"/>
      <c r="Y67" s="582"/>
      <c r="Z67" s="582"/>
      <c r="AA67" s="582"/>
      <c r="AB67" s="582"/>
      <c r="AC67" s="582"/>
      <c r="AD67" s="582"/>
      <c r="AE67" s="582"/>
      <c r="AF67" s="582"/>
      <c r="AG67" s="582"/>
      <c r="AH67" s="582"/>
      <c r="AI67" s="582"/>
      <c r="AJ67" s="582"/>
      <c r="AK67" s="159"/>
    </row>
    <row r="68" spans="1:37" s="62" customFormat="1" ht="33" customHeight="1" x14ac:dyDescent="0.3">
      <c r="B68" s="159"/>
      <c r="C68" s="159"/>
      <c r="D68" s="159"/>
      <c r="E68" s="159"/>
      <c r="F68" s="159"/>
      <c r="G68" s="573" t="s">
        <v>93</v>
      </c>
      <c r="H68" s="573"/>
      <c r="I68" s="573"/>
      <c r="J68" s="573"/>
      <c r="K68" s="573"/>
      <c r="L68" s="573"/>
      <c r="M68" s="573"/>
      <c r="N68" s="573"/>
      <c r="O68" s="573"/>
      <c r="P68" s="573"/>
      <c r="Q68" s="573"/>
      <c r="R68" s="573"/>
      <c r="S68" s="159"/>
      <c r="T68" s="159"/>
      <c r="U68" s="159"/>
      <c r="V68" s="159"/>
      <c r="W68" s="583" t="s">
        <v>88</v>
      </c>
      <c r="X68" s="583"/>
      <c r="Y68" s="583"/>
      <c r="Z68" s="583"/>
      <c r="AA68" s="583"/>
      <c r="AB68" s="583"/>
      <c r="AC68" s="583"/>
      <c r="AD68" s="583"/>
      <c r="AE68" s="583"/>
      <c r="AF68" s="583"/>
      <c r="AG68" s="583"/>
      <c r="AH68" s="583"/>
      <c r="AI68" s="583"/>
      <c r="AJ68" s="583"/>
      <c r="AK68" s="159"/>
    </row>
    <row r="69" spans="1:37" s="62" customFormat="1" ht="33" customHeight="1" x14ac:dyDescent="0.25">
      <c r="B69" s="159"/>
      <c r="C69" s="159"/>
      <c r="D69" s="159"/>
      <c r="E69" s="159"/>
      <c r="F69" s="159"/>
      <c r="G69" s="568" t="s">
        <v>90</v>
      </c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68"/>
      <c r="S69" s="159"/>
      <c r="T69" s="159"/>
      <c r="U69" s="159"/>
      <c r="V69" s="159"/>
      <c r="W69" s="569" t="s">
        <v>89</v>
      </c>
      <c r="X69" s="569"/>
      <c r="Y69" s="569"/>
      <c r="Z69" s="569"/>
      <c r="AA69" s="569"/>
      <c r="AB69" s="569"/>
      <c r="AC69" s="569"/>
      <c r="AD69" s="569"/>
      <c r="AE69" s="569"/>
      <c r="AF69" s="569"/>
      <c r="AG69" s="569"/>
      <c r="AH69" s="569"/>
      <c r="AI69" s="163"/>
      <c r="AJ69" s="159"/>
      <c r="AK69" s="159"/>
    </row>
    <row r="70" spans="1:37" s="62" customFormat="1" ht="33" customHeight="1" x14ac:dyDescent="0.3">
      <c r="B70" s="159"/>
      <c r="C70" s="159"/>
      <c r="D70" s="159"/>
      <c r="E70" s="159"/>
      <c r="F70" s="159"/>
      <c r="G70" s="569" t="s">
        <v>97</v>
      </c>
      <c r="H70" s="569"/>
      <c r="I70" s="569"/>
      <c r="J70" s="569"/>
      <c r="K70" s="569"/>
      <c r="L70" s="569"/>
      <c r="M70" s="569"/>
      <c r="N70" s="569"/>
      <c r="O70" s="569"/>
      <c r="P70" s="569"/>
      <c r="Q70" s="569"/>
      <c r="R70" s="569"/>
      <c r="S70" s="159"/>
      <c r="T70" s="159"/>
      <c r="U70" s="159"/>
      <c r="V70" s="159"/>
      <c r="W70" s="159"/>
      <c r="X70" s="159"/>
      <c r="Y70" s="164" t="s">
        <v>91</v>
      </c>
      <c r="Z70" s="165"/>
      <c r="AA70" s="165"/>
      <c r="AB70" s="165"/>
      <c r="AC70" s="89"/>
      <c r="AE70" s="166" t="s">
        <v>91</v>
      </c>
      <c r="AF70" s="164" t="s">
        <v>92</v>
      </c>
      <c r="AG70" s="167" t="s">
        <v>94</v>
      </c>
      <c r="AH70" s="159"/>
      <c r="AI70" s="163"/>
      <c r="AJ70" s="159"/>
      <c r="AK70" s="159"/>
    </row>
    <row r="71" spans="1:37" s="62" customFormat="1" ht="33" customHeight="1" x14ac:dyDescent="0.35">
      <c r="A71" s="159"/>
      <c r="B71" s="159"/>
      <c r="C71" s="159"/>
      <c r="D71" s="159"/>
      <c r="E71" s="159"/>
      <c r="F71" s="159"/>
      <c r="G71" s="89"/>
      <c r="H71" s="166" t="s">
        <v>91</v>
      </c>
      <c r="I71" s="165"/>
      <c r="J71" s="165"/>
      <c r="K71" s="165"/>
      <c r="L71" s="89"/>
      <c r="M71" s="166" t="s">
        <v>91</v>
      </c>
      <c r="N71" s="164" t="s">
        <v>92</v>
      </c>
      <c r="O71" s="167" t="s">
        <v>94</v>
      </c>
      <c r="P71" s="159"/>
      <c r="Q71" s="159"/>
      <c r="R71" s="159"/>
      <c r="S71" s="159"/>
      <c r="T71" s="159"/>
      <c r="U71" s="159"/>
      <c r="V71" s="159"/>
      <c r="W71" s="170"/>
      <c r="X71" s="571">
        <v>2</v>
      </c>
      <c r="Y71" s="571"/>
      <c r="Z71" s="171" t="s">
        <v>92</v>
      </c>
      <c r="AA71" s="570">
        <f>X72-1</f>
        <v>15</v>
      </c>
      <c r="AB71" s="570"/>
      <c r="AC71" s="172"/>
      <c r="AE71" s="173">
        <v>2</v>
      </c>
      <c r="AF71" s="171" t="s">
        <v>92</v>
      </c>
      <c r="AG71" s="174">
        <v>0</v>
      </c>
      <c r="AH71" s="159"/>
      <c r="AI71" s="163"/>
      <c r="AJ71" s="159"/>
      <c r="AK71" s="159"/>
    </row>
    <row r="72" spans="1:37" s="62" customFormat="1" ht="33" customHeight="1" x14ac:dyDescent="0.35">
      <c r="A72" s="159"/>
      <c r="F72" s="159"/>
      <c r="G72" s="89"/>
      <c r="H72" s="170">
        <v>2</v>
      </c>
      <c r="I72" s="171" t="s">
        <v>92</v>
      </c>
      <c r="J72" s="565">
        <v>15</v>
      </c>
      <c r="K72" s="565"/>
      <c r="L72" s="172"/>
      <c r="M72" s="173">
        <v>2</v>
      </c>
      <c r="N72" s="171" t="s">
        <v>92</v>
      </c>
      <c r="O72" s="174">
        <v>0</v>
      </c>
      <c r="P72" s="159"/>
      <c r="Q72" s="159"/>
      <c r="R72" s="159"/>
      <c r="S72" s="159"/>
      <c r="T72" s="159"/>
      <c r="U72" s="159"/>
      <c r="V72" s="159"/>
      <c r="W72" s="170"/>
      <c r="X72" s="571">
        <v>16</v>
      </c>
      <c r="Y72" s="571">
        <v>16</v>
      </c>
      <c r="Z72" s="171" t="s">
        <v>92</v>
      </c>
      <c r="AA72" s="570">
        <f t="shared" ref="AA72:AA78" si="1">X73-1</f>
        <v>25</v>
      </c>
      <c r="AB72" s="570"/>
      <c r="AC72" s="172"/>
      <c r="AE72" s="173">
        <v>3</v>
      </c>
      <c r="AF72" s="171" t="s">
        <v>92</v>
      </c>
      <c r="AG72" s="174">
        <v>0</v>
      </c>
      <c r="AH72" s="159"/>
      <c r="AI72" s="163"/>
      <c r="AJ72" s="159"/>
      <c r="AK72" s="159"/>
    </row>
    <row r="73" spans="1:37" s="62" customFormat="1" ht="33" customHeight="1" x14ac:dyDescent="0.35">
      <c r="A73" s="159"/>
      <c r="F73" s="159"/>
      <c r="G73" s="89"/>
      <c r="H73" s="170">
        <v>16</v>
      </c>
      <c r="I73" s="171" t="s">
        <v>92</v>
      </c>
      <c r="J73" s="565">
        <v>50</v>
      </c>
      <c r="K73" s="565"/>
      <c r="L73" s="172"/>
      <c r="M73" s="173">
        <v>3</v>
      </c>
      <c r="N73" s="171" t="s">
        <v>92</v>
      </c>
      <c r="O73" s="174">
        <v>0</v>
      </c>
      <c r="P73" s="159"/>
      <c r="Q73" s="159"/>
      <c r="R73" s="159"/>
      <c r="S73" s="159"/>
      <c r="T73" s="159"/>
      <c r="U73" s="159"/>
      <c r="V73" s="159"/>
      <c r="W73" s="170"/>
      <c r="X73" s="571">
        <v>26</v>
      </c>
      <c r="Y73" s="571">
        <v>51</v>
      </c>
      <c r="Z73" s="171" t="s">
        <v>92</v>
      </c>
      <c r="AA73" s="570">
        <f t="shared" si="1"/>
        <v>90</v>
      </c>
      <c r="AB73" s="570"/>
      <c r="AC73" s="172"/>
      <c r="AE73" s="173">
        <v>5</v>
      </c>
      <c r="AF73" s="171" t="s">
        <v>92</v>
      </c>
      <c r="AG73" s="174">
        <v>0</v>
      </c>
      <c r="AH73" s="159"/>
      <c r="AI73" s="163"/>
      <c r="AJ73" s="159"/>
      <c r="AK73" s="159"/>
    </row>
    <row r="74" spans="1:37" s="62" customFormat="1" ht="33" customHeight="1" x14ac:dyDescent="0.35">
      <c r="A74" s="159"/>
      <c r="F74" s="159"/>
      <c r="G74" s="89"/>
      <c r="H74" s="170">
        <v>51</v>
      </c>
      <c r="I74" s="171" t="s">
        <v>92</v>
      </c>
      <c r="J74" s="565">
        <v>150</v>
      </c>
      <c r="K74" s="565"/>
      <c r="L74" s="172"/>
      <c r="M74" s="173">
        <v>5</v>
      </c>
      <c r="N74" s="171" t="s">
        <v>92</v>
      </c>
      <c r="O74" s="174">
        <v>0</v>
      </c>
      <c r="P74" s="159"/>
      <c r="Q74" s="159"/>
      <c r="R74" s="159"/>
      <c r="S74" s="159"/>
      <c r="T74" s="159"/>
      <c r="U74" s="159"/>
      <c r="V74" s="159"/>
      <c r="W74" s="170"/>
      <c r="X74" s="571">
        <v>91</v>
      </c>
      <c r="Y74" s="571">
        <v>151</v>
      </c>
      <c r="Z74" s="171" t="s">
        <v>92</v>
      </c>
      <c r="AA74" s="570">
        <f t="shared" si="1"/>
        <v>150</v>
      </c>
      <c r="AB74" s="570"/>
      <c r="AC74" s="172"/>
      <c r="AE74" s="173">
        <v>8</v>
      </c>
      <c r="AF74" s="171" t="s">
        <v>92</v>
      </c>
      <c r="AG74" s="174">
        <v>0</v>
      </c>
      <c r="AH74" s="159"/>
      <c r="AI74" s="163"/>
      <c r="AJ74" s="159"/>
      <c r="AK74" s="159"/>
    </row>
    <row r="75" spans="1:37" s="62" customFormat="1" ht="33" customHeight="1" x14ac:dyDescent="0.35">
      <c r="A75" s="159"/>
      <c r="F75" s="159"/>
      <c r="G75" s="89"/>
      <c r="H75" s="170">
        <v>151</v>
      </c>
      <c r="I75" s="171" t="s">
        <v>92</v>
      </c>
      <c r="J75" s="565">
        <v>500</v>
      </c>
      <c r="K75" s="565"/>
      <c r="L75" s="172"/>
      <c r="M75" s="173">
        <v>8</v>
      </c>
      <c r="N75" s="171" t="s">
        <v>92</v>
      </c>
      <c r="O75" s="174">
        <v>0</v>
      </c>
      <c r="P75" s="159"/>
      <c r="Q75" s="159"/>
      <c r="R75" s="159"/>
      <c r="S75" s="159"/>
      <c r="T75" s="159"/>
      <c r="U75" s="159"/>
      <c r="V75" s="159"/>
      <c r="W75" s="170"/>
      <c r="X75" s="571">
        <v>151</v>
      </c>
      <c r="Y75" s="571">
        <v>501</v>
      </c>
      <c r="Z75" s="171" t="s">
        <v>92</v>
      </c>
      <c r="AA75" s="570">
        <f t="shared" si="1"/>
        <v>500</v>
      </c>
      <c r="AB75" s="570"/>
      <c r="AC75" s="172"/>
      <c r="AE75" s="173">
        <v>13</v>
      </c>
      <c r="AF75" s="171" t="s">
        <v>92</v>
      </c>
      <c r="AG75" s="174">
        <v>0</v>
      </c>
      <c r="AH75" s="159"/>
      <c r="AI75" s="163"/>
      <c r="AJ75" s="159"/>
      <c r="AK75" s="159"/>
    </row>
    <row r="76" spans="1:37" s="62" customFormat="1" ht="33" customHeight="1" x14ac:dyDescent="0.35">
      <c r="A76" s="159"/>
      <c r="F76" s="159"/>
      <c r="G76" s="89"/>
      <c r="H76" s="170">
        <v>501</v>
      </c>
      <c r="I76" s="171" t="s">
        <v>92</v>
      </c>
      <c r="J76" s="565">
        <v>3200</v>
      </c>
      <c r="K76" s="565"/>
      <c r="L76" s="172"/>
      <c r="M76" s="173">
        <v>13</v>
      </c>
      <c r="N76" s="171" t="s">
        <v>92</v>
      </c>
      <c r="O76" s="174">
        <v>0</v>
      </c>
      <c r="P76" s="159"/>
      <c r="Q76" s="159"/>
      <c r="R76" s="159"/>
      <c r="S76" s="159"/>
      <c r="T76" s="159"/>
      <c r="U76" s="159"/>
      <c r="V76" s="159"/>
      <c r="W76" s="170"/>
      <c r="X76" s="571">
        <v>501</v>
      </c>
      <c r="Y76" s="571">
        <v>3201</v>
      </c>
      <c r="Z76" s="171" t="s">
        <v>92</v>
      </c>
      <c r="AA76" s="570">
        <f t="shared" si="1"/>
        <v>1200</v>
      </c>
      <c r="AB76" s="570"/>
      <c r="AC76" s="172"/>
      <c r="AE76" s="173">
        <v>20</v>
      </c>
      <c r="AF76" s="171" t="s">
        <v>92</v>
      </c>
      <c r="AG76" s="174">
        <v>0</v>
      </c>
      <c r="AH76" s="159"/>
      <c r="AI76" s="163"/>
      <c r="AJ76" s="159"/>
      <c r="AK76" s="159"/>
    </row>
    <row r="77" spans="1:37" s="62" customFormat="1" ht="33" customHeight="1" x14ac:dyDescent="0.35">
      <c r="A77" s="159"/>
      <c r="F77" s="159"/>
      <c r="G77" s="89"/>
      <c r="H77" s="170">
        <v>3201</v>
      </c>
      <c r="I77" s="171" t="s">
        <v>92</v>
      </c>
      <c r="J77" s="565">
        <v>35000</v>
      </c>
      <c r="K77" s="565"/>
      <c r="L77" s="172"/>
      <c r="M77" s="173">
        <v>20</v>
      </c>
      <c r="N77" s="171" t="s">
        <v>92</v>
      </c>
      <c r="O77" s="174">
        <v>0</v>
      </c>
      <c r="P77" s="159"/>
      <c r="Q77" s="159"/>
      <c r="R77" s="159"/>
      <c r="S77" s="159"/>
      <c r="T77" s="159"/>
      <c r="U77" s="159"/>
      <c r="V77" s="159"/>
      <c r="W77" s="170"/>
      <c r="X77" s="571">
        <v>1201</v>
      </c>
      <c r="Y77" s="571">
        <v>35001</v>
      </c>
      <c r="Z77" s="171" t="s">
        <v>92</v>
      </c>
      <c r="AA77" s="570">
        <f t="shared" si="1"/>
        <v>10000</v>
      </c>
      <c r="AB77" s="570"/>
      <c r="AC77" s="172"/>
      <c r="AE77" s="173">
        <v>32</v>
      </c>
      <c r="AF77" s="171" t="s">
        <v>92</v>
      </c>
      <c r="AG77" s="174">
        <v>0</v>
      </c>
      <c r="AH77" s="159"/>
      <c r="AI77" s="163"/>
      <c r="AJ77" s="159"/>
      <c r="AK77" s="159"/>
    </row>
    <row r="78" spans="1:37" s="62" customFormat="1" ht="33" customHeight="1" x14ac:dyDescent="0.35">
      <c r="A78" s="159"/>
      <c r="F78" s="159"/>
      <c r="G78" s="571">
        <v>35001</v>
      </c>
      <c r="H78" s="571"/>
      <c r="I78" s="171" t="s">
        <v>92</v>
      </c>
      <c r="J78" s="565"/>
      <c r="K78" s="565"/>
      <c r="L78" s="172"/>
      <c r="M78" s="173">
        <v>32</v>
      </c>
      <c r="N78" s="171" t="s">
        <v>92</v>
      </c>
      <c r="O78" s="174">
        <v>0</v>
      </c>
      <c r="P78" s="159"/>
      <c r="Q78" s="159"/>
      <c r="R78" s="159"/>
      <c r="S78" s="159"/>
      <c r="T78" s="159"/>
      <c r="U78" s="159"/>
      <c r="V78" s="159"/>
      <c r="W78" s="170"/>
      <c r="X78" s="571">
        <v>10001</v>
      </c>
      <c r="Y78" s="571"/>
      <c r="Z78" s="171" t="s">
        <v>92</v>
      </c>
      <c r="AA78" s="570">
        <f t="shared" si="1"/>
        <v>35000</v>
      </c>
      <c r="AB78" s="570"/>
      <c r="AC78" s="170"/>
      <c r="AE78" s="170">
        <v>50</v>
      </c>
      <c r="AF78" s="171" t="s">
        <v>92</v>
      </c>
      <c r="AG78" s="174">
        <v>0</v>
      </c>
      <c r="AH78" s="159"/>
      <c r="AI78" s="163"/>
      <c r="AJ78" s="159"/>
      <c r="AK78" s="159"/>
    </row>
    <row r="79" spans="1:37" s="62" customFormat="1" ht="33" customHeight="1" x14ac:dyDescent="0.3">
      <c r="A79" s="159"/>
      <c r="F79" s="159"/>
      <c r="G79" s="159"/>
      <c r="H79" s="159"/>
      <c r="I79" s="159"/>
      <c r="J79" s="159"/>
      <c r="K79" s="168"/>
      <c r="L79" s="168"/>
      <c r="M79" s="168"/>
      <c r="N79" s="159"/>
      <c r="O79" s="159"/>
      <c r="P79" s="159"/>
      <c r="Q79" s="159"/>
      <c r="R79" s="159"/>
      <c r="S79" s="159"/>
      <c r="T79" s="159"/>
      <c r="U79" s="159"/>
      <c r="V79" s="159"/>
      <c r="W79" s="170"/>
      <c r="X79" s="571">
        <v>35001</v>
      </c>
      <c r="Y79" s="571"/>
      <c r="Z79" s="171" t="s">
        <v>92</v>
      </c>
      <c r="AA79" s="570">
        <f>W80-1</f>
        <v>500000</v>
      </c>
      <c r="AB79" s="570"/>
      <c r="AC79" s="570"/>
      <c r="AE79" s="170">
        <v>80</v>
      </c>
      <c r="AF79" s="171" t="s">
        <v>92</v>
      </c>
      <c r="AG79" s="174">
        <v>0</v>
      </c>
      <c r="AH79" s="159"/>
      <c r="AI79" s="163"/>
      <c r="AJ79" s="159"/>
      <c r="AK79" s="159"/>
    </row>
    <row r="80" spans="1:37" s="62" customFormat="1" ht="33" customHeight="1" x14ac:dyDescent="0.25">
      <c r="A80" s="159"/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579">
        <v>500001</v>
      </c>
      <c r="X80" s="579"/>
      <c r="Y80" s="579"/>
      <c r="Z80" s="171" t="s">
        <v>92</v>
      </c>
      <c r="AA80" s="170"/>
      <c r="AB80" s="170"/>
      <c r="AD80" s="580">
        <v>125</v>
      </c>
      <c r="AE80" s="580"/>
      <c r="AF80" s="171" t="s">
        <v>92</v>
      </c>
      <c r="AG80" s="174">
        <v>0</v>
      </c>
      <c r="AH80" s="159"/>
      <c r="AI80" s="163"/>
      <c r="AJ80" s="159"/>
      <c r="AK80" s="159"/>
    </row>
    <row r="81" spans="23:37" ht="15" customHeight="1" x14ac:dyDescent="0.25">
      <c r="W81" s="126"/>
      <c r="AF81" s="450"/>
      <c r="AG81" s="450"/>
      <c r="AH81" s="450"/>
      <c r="AI81" s="151"/>
      <c r="AJ81" s="153"/>
      <c r="AK81" s="133" t="str">
        <f>AK49</f>
        <v>8517-0000</v>
      </c>
    </row>
  </sheetData>
  <dataConsolidate link="1"/>
  <mergeCells count="185">
    <mergeCell ref="B12:E12"/>
    <mergeCell ref="AI12:AJ12"/>
    <mergeCell ref="B16:E16"/>
    <mergeCell ref="AI16:AJ16"/>
    <mergeCell ref="B17:E17"/>
    <mergeCell ref="AI17:AJ17"/>
    <mergeCell ref="B18:E18"/>
    <mergeCell ref="AI18:AJ18"/>
    <mergeCell ref="W80:Y80"/>
    <mergeCell ref="AA79:AC79"/>
    <mergeCell ref="G78:H78"/>
    <mergeCell ref="AD80:AE80"/>
    <mergeCell ref="X78:Y78"/>
    <mergeCell ref="X79:Y79"/>
    <mergeCell ref="AA78:AB78"/>
    <mergeCell ref="G66:AH66"/>
    <mergeCell ref="W67:AJ67"/>
    <mergeCell ref="W68:AJ68"/>
    <mergeCell ref="AA74:AB74"/>
    <mergeCell ref="AA75:AB75"/>
    <mergeCell ref="AA76:AB76"/>
    <mergeCell ref="AA77:AB77"/>
    <mergeCell ref="W69:AH69"/>
    <mergeCell ref="X71:Y71"/>
    <mergeCell ref="A5:C5"/>
    <mergeCell ref="D5:M5"/>
    <mergeCell ref="N5:R5"/>
    <mergeCell ref="S5:V5"/>
    <mergeCell ref="AF5:AH5"/>
    <mergeCell ref="AI5:AK5"/>
    <mergeCell ref="B10:E10"/>
    <mergeCell ref="AI10:AJ10"/>
    <mergeCell ref="B11:E11"/>
    <mergeCell ref="AI11:AJ11"/>
    <mergeCell ref="A1:P3"/>
    <mergeCell ref="Q1:W3"/>
    <mergeCell ref="X1:AK3"/>
    <mergeCell ref="A4:C4"/>
    <mergeCell ref="D4:M4"/>
    <mergeCell ref="N4:R4"/>
    <mergeCell ref="S4:V4"/>
    <mergeCell ref="AF4:AH4"/>
    <mergeCell ref="A8:A9"/>
    <mergeCell ref="B8:D9"/>
    <mergeCell ref="F8:F9"/>
    <mergeCell ref="G8:H9"/>
    <mergeCell ref="I8:AH9"/>
    <mergeCell ref="AI8:AK8"/>
    <mergeCell ref="A6:B6"/>
    <mergeCell ref="D6:E6"/>
    <mergeCell ref="F6:H6"/>
    <mergeCell ref="J6:M6"/>
    <mergeCell ref="N6:R6"/>
    <mergeCell ref="S6:V6"/>
    <mergeCell ref="AI9:AJ9"/>
    <mergeCell ref="AF6:AH6"/>
    <mergeCell ref="AI6:AK6"/>
    <mergeCell ref="AI4:AK4"/>
    <mergeCell ref="B13:E13"/>
    <mergeCell ref="AI13:AJ13"/>
    <mergeCell ref="B14:E14"/>
    <mergeCell ref="AI14:AJ14"/>
    <mergeCell ref="B15:E15"/>
    <mergeCell ref="AI15:AJ15"/>
    <mergeCell ref="B22:E22"/>
    <mergeCell ref="AI22:AJ22"/>
    <mergeCell ref="B23:E23"/>
    <mergeCell ref="AI23:AJ23"/>
    <mergeCell ref="B24:E24"/>
    <mergeCell ref="AI24:AJ24"/>
    <mergeCell ref="B19:E19"/>
    <mergeCell ref="AI19:AJ19"/>
    <mergeCell ref="B20:E20"/>
    <mergeCell ref="AI20:AJ20"/>
    <mergeCell ref="B21:E21"/>
    <mergeCell ref="AI21:AJ21"/>
    <mergeCell ref="B28:E28"/>
    <mergeCell ref="AI28:AJ28"/>
    <mergeCell ref="B29:E29"/>
    <mergeCell ref="AI29:AJ29"/>
    <mergeCell ref="A30:H30"/>
    <mergeCell ref="A31:H31"/>
    <mergeCell ref="B25:E25"/>
    <mergeCell ref="AI25:AJ25"/>
    <mergeCell ref="B26:E26"/>
    <mergeCell ref="AI26:AJ26"/>
    <mergeCell ref="B27:E27"/>
    <mergeCell ref="AI27:AJ27"/>
    <mergeCell ref="AI32:AJ32"/>
    <mergeCell ref="A33:D39"/>
    <mergeCell ref="E33:F36"/>
    <mergeCell ref="G33:G34"/>
    <mergeCell ref="AI33:AK39"/>
    <mergeCell ref="G35:G36"/>
    <mergeCell ref="E37:F41"/>
    <mergeCell ref="G37:G38"/>
    <mergeCell ref="G39:G40"/>
    <mergeCell ref="AK43:AK45"/>
    <mergeCell ref="A46:H46"/>
    <mergeCell ref="AI46:AK48"/>
    <mergeCell ref="A47:H47"/>
    <mergeCell ref="A48:H48"/>
    <mergeCell ref="AF49:AH49"/>
    <mergeCell ref="A40:A42"/>
    <mergeCell ref="B40:D42"/>
    <mergeCell ref="AI40:AJ42"/>
    <mergeCell ref="AK40:AK42"/>
    <mergeCell ref="G41:G42"/>
    <mergeCell ref="E42:F45"/>
    <mergeCell ref="A43:A45"/>
    <mergeCell ref="B43:D45"/>
    <mergeCell ref="G43:G44"/>
    <mergeCell ref="AI43:AJ45"/>
    <mergeCell ref="A52:B52"/>
    <mergeCell ref="E52:F52"/>
    <mergeCell ref="G52:AK52"/>
    <mergeCell ref="A53:B53"/>
    <mergeCell ref="E53:F53"/>
    <mergeCell ref="G53:AK53"/>
    <mergeCell ref="A50:B50"/>
    <mergeCell ref="E50:F50"/>
    <mergeCell ref="G50:AK50"/>
    <mergeCell ref="A51:B51"/>
    <mergeCell ref="E51:F51"/>
    <mergeCell ref="G51:AK51"/>
    <mergeCell ref="A56:B56"/>
    <mergeCell ref="E56:F56"/>
    <mergeCell ref="G56:AK56"/>
    <mergeCell ref="A57:B57"/>
    <mergeCell ref="E57:F57"/>
    <mergeCell ref="G57:AK57"/>
    <mergeCell ref="A54:B54"/>
    <mergeCell ref="E54:F54"/>
    <mergeCell ref="G54:AK54"/>
    <mergeCell ref="A55:B55"/>
    <mergeCell ref="E55:F55"/>
    <mergeCell ref="G55:AK55"/>
    <mergeCell ref="A60:B60"/>
    <mergeCell ref="E60:F60"/>
    <mergeCell ref="G60:AK60"/>
    <mergeCell ref="A61:B61"/>
    <mergeCell ref="E61:F61"/>
    <mergeCell ref="G61:AK61"/>
    <mergeCell ref="A58:B58"/>
    <mergeCell ref="E58:F58"/>
    <mergeCell ref="G58:AK58"/>
    <mergeCell ref="A59:B59"/>
    <mergeCell ref="E59:F59"/>
    <mergeCell ref="G59:AK59"/>
    <mergeCell ref="A64:B64"/>
    <mergeCell ref="E64:F64"/>
    <mergeCell ref="G64:AK64"/>
    <mergeCell ref="A65:B65"/>
    <mergeCell ref="E65:F65"/>
    <mergeCell ref="G65:AK65"/>
    <mergeCell ref="A62:B62"/>
    <mergeCell ref="E62:F62"/>
    <mergeCell ref="G62:AK62"/>
    <mergeCell ref="A63:B63"/>
    <mergeCell ref="E63:F63"/>
    <mergeCell ref="G63:AK63"/>
    <mergeCell ref="J72:K72"/>
    <mergeCell ref="J73:K73"/>
    <mergeCell ref="J74:K74"/>
    <mergeCell ref="J75:K75"/>
    <mergeCell ref="J76:K76"/>
    <mergeCell ref="J77:K77"/>
    <mergeCell ref="J78:K78"/>
    <mergeCell ref="AF81:AH81"/>
    <mergeCell ref="W4:AB6"/>
    <mergeCell ref="AC4:AE6"/>
    <mergeCell ref="G69:R69"/>
    <mergeCell ref="G70:R70"/>
    <mergeCell ref="AA71:AB71"/>
    <mergeCell ref="AA72:AB72"/>
    <mergeCell ref="AA73:AB73"/>
    <mergeCell ref="X72:Y72"/>
    <mergeCell ref="X73:Y73"/>
    <mergeCell ref="X74:Y74"/>
    <mergeCell ref="X75:Y75"/>
    <mergeCell ref="X76:Y76"/>
    <mergeCell ref="X77:Y77"/>
    <mergeCell ref="G67:R67"/>
    <mergeCell ref="G68:R68"/>
    <mergeCell ref="A32:H32"/>
  </mergeCells>
  <conditionalFormatting sqref="G10:G29">
    <cfRule type="cellIs" dxfId="0" priority="1" operator="equal">
      <formula>0</formula>
    </cfRule>
  </conditionalFormatting>
  <dataValidations disablePrompts="1" count="2">
    <dataValidation type="list" allowBlank="1" showInputMessage="1" showErrorMessage="1" errorTitle="Vybrat ze seznamu" error="Oblast je potřeba vybrat ze seznamu (označení pracoviště)_x000a__x000a_Žluté_x000a_Modré_x000a_Zelené" sqref="AI5:AK5">
      <formula1>$AN$9:$AN$12</formula1>
    </dataValidation>
    <dataValidation type="textLength" errorStyle="information" operator="equal" allowBlank="1" showErrorMessage="1" errorTitle="Zadat číslo stolu" error="Číslo stolu je ve formátu 4 znaků" promptTitle="Zadat číslo stolu" prompt="Číslo stolu je ve formátu 4 znaků" sqref="H10:H28">
      <formula1>4</formula1>
    </dataValidation>
  </dataValidations>
  <printOptions horizontalCentered="1"/>
  <pageMargins left="0.19685039370078741" right="0.19685039370078741" top="0.19685039370078741" bottom="0.27559055118110237" header="0.31496062992125984" footer="0.31496062992125984"/>
  <pageSetup paperSize="9" scale="54" orientation="landscape" r:id="rId1"/>
  <headerFooter>
    <oddFooter>&amp;LFB_7602-03-032b_KOCR_Z (03.13)                        &amp;C&amp;Z&amp;F&amp;RRL_17-60-121_KOCR_Z</oddFooter>
  </headerFooter>
  <rowBreaks count="1" manualBreakCount="1">
    <brk id="49" min="6" max="36" man="1"/>
  </rowBreaks>
  <drawing r:id="rId2"/>
  <legacyDrawing r:id="rId3"/>
  <oleObjects>
    <mc:AlternateContent xmlns:mc="http://schemas.openxmlformats.org/markup-compatibility/2006">
      <mc:Choice Requires="x14">
        <oleObject progId="Word.Picture.8" shapeId="3075" r:id="rId4">
          <objectPr defaultSize="0" autoPict="0" r:id="rId5">
            <anchor moveWithCells="1">
              <from>
                <xdr:col>34</xdr:col>
                <xdr:colOff>0</xdr:colOff>
                <xdr:row>0</xdr:row>
                <xdr:rowOff>66675</xdr:rowOff>
              </from>
              <to>
                <xdr:col>36</xdr:col>
                <xdr:colOff>847725</xdr:colOff>
                <xdr:row>2</xdr:row>
                <xdr:rowOff>123825</xdr:rowOff>
              </to>
            </anchor>
          </objectPr>
        </oleObject>
      </mc:Choice>
      <mc:Fallback>
        <oleObject progId="Word.Picture.8" shapeId="3075" r:id="rId4"/>
      </mc:Fallback>
    </mc:AlternateContent>
  </oleObjects>
  <controls>
    <mc:AlternateContent xmlns:mc="http://schemas.openxmlformats.org/markup-compatibility/2006">
      <mc:Choice Requires="x14">
        <control shapeId="3078" r:id="rId6" name="vytvorVKZ">
          <controlPr defaultSize="0" autoLine="0" r:id="rId7">
            <anchor moveWithCells="1">
              <from>
                <xdr:col>37</xdr:col>
                <xdr:colOff>171450</xdr:colOff>
                <xdr:row>3</xdr:row>
                <xdr:rowOff>466725</xdr:rowOff>
              </from>
              <to>
                <xdr:col>47</xdr:col>
                <xdr:colOff>333375</xdr:colOff>
                <xdr:row>8</xdr:row>
                <xdr:rowOff>390525</xdr:rowOff>
              </to>
            </anchor>
          </controlPr>
        </control>
      </mc:Choice>
      <mc:Fallback>
        <control shapeId="3078" r:id="rId6" name="vytvorVKZ"/>
      </mc:Fallback>
    </mc:AlternateContent>
    <mc:AlternateContent xmlns:mc="http://schemas.openxmlformats.org/markup-compatibility/2006">
      <mc:Choice Requires="x14">
        <control shapeId="3076" r:id="rId8" name="OtevriMenu">
          <controlPr defaultSize="0" autoLine="0" r:id="rId9">
            <anchor moveWithCells="1">
              <from>
                <xdr:col>37</xdr:col>
                <xdr:colOff>152400</xdr:colOff>
                <xdr:row>0</xdr:row>
                <xdr:rowOff>95250</xdr:rowOff>
              </from>
              <to>
                <xdr:col>41</xdr:col>
                <xdr:colOff>171450</xdr:colOff>
                <xdr:row>3</xdr:row>
                <xdr:rowOff>76200</xdr:rowOff>
              </to>
            </anchor>
          </controlPr>
        </control>
      </mc:Choice>
      <mc:Fallback>
        <control shapeId="3076" r:id="rId8" name="OtevriMenu"/>
      </mc:Fallback>
    </mc:AlternateContent>
    <mc:AlternateContent xmlns:mc="http://schemas.openxmlformats.org/markup-compatibility/2006">
      <mc:Choice Requires="x14">
        <control shapeId="3073" r:id="rId10" name="Check Box 1">
          <controlPr locked="0" defaultSize="0" autoFill="0" autoLine="0" autoPict="0">
            <anchor moveWithCells="1">
              <from>
                <xdr:col>19</xdr:col>
                <xdr:colOff>285750</xdr:colOff>
                <xdr:row>1</xdr:row>
                <xdr:rowOff>38100</xdr:rowOff>
              </from>
              <to>
                <xdr:col>20</xdr:col>
                <xdr:colOff>190500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11" name="Check Box 2">
          <controlPr locked="0" defaultSize="0" autoFill="0" autoLine="0" autoPict="0">
            <anchor moveWithCells="1">
              <from>
                <xdr:col>23</xdr:col>
                <xdr:colOff>142875</xdr:colOff>
                <xdr:row>1</xdr:row>
                <xdr:rowOff>28575</xdr:rowOff>
              </from>
              <to>
                <xdr:col>24</xdr:col>
                <xdr:colOff>57150</xdr:colOff>
                <xdr:row>2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KI</vt:lpstr>
      <vt:lpstr>Change_log</vt:lpstr>
      <vt:lpstr>ATR_Karta</vt:lpstr>
      <vt:lpstr>Audit_Karta</vt:lpstr>
      <vt:lpstr>VKZ_Karta</vt:lpstr>
      <vt:lpstr>ATR_Karta!Print_Area</vt:lpstr>
      <vt:lpstr>Audit_Karta!Print_Area</vt:lpstr>
      <vt:lpstr>KI!Print_Area</vt:lpstr>
      <vt:lpstr>VKZ_Karta!Print_Area</vt:lpstr>
      <vt:lpstr>KI!Print_Titles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Patera, Petr</dc:creator>
  <cp:lastModifiedBy>Patera, Petr</cp:lastModifiedBy>
  <cp:lastPrinted>2020-05-22T12:57:11Z</cp:lastPrinted>
  <dcterms:created xsi:type="dcterms:W3CDTF">2006-09-16T00:00:00Z</dcterms:created>
  <dcterms:modified xsi:type="dcterms:W3CDTF">2021-07-20T09:29:51Z</dcterms:modified>
</cp:coreProperties>
</file>